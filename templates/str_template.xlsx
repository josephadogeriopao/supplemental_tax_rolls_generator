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ph.adogeri\Desktop\source\supplemental_tax_rolls_generator\templates\"/>
    </mc:Choice>
  </mc:AlternateContent>
  <xr:revisionPtr revIDLastSave="0" documentId="13_ncr:1_{BCD44DA4-27CD-451A-8254-1113F0CE2827}" xr6:coauthVersionLast="47" xr6:coauthVersionMax="47" xr10:uidLastSave="{00000000-0000-0000-0000-000000000000}"/>
  <bookViews>
    <workbookView xWindow="-28920" yWindow="1245" windowWidth="29040" windowHeight="15720" xr2:uid="{00000000-000D-0000-FFFF-FFFF00000000}"/>
  </bookViews>
  <sheets>
    <sheet name="CONSOLIDATED SUMMARY" sheetId="3" r:id="rId1"/>
  </sheets>
  <definedNames>
    <definedName name="HOMESTEAD_EXEMPTION_NET_1" localSheetId="0">10000</definedName>
    <definedName name="HOMESTEAD_EXEMPTION_NET_2" localSheetId="0">20000</definedName>
    <definedName name="HOMESTEAD_EXEMPTION_NET_3" localSheetId="0">30000</definedName>
    <definedName name="HOMESTEAD_EXEMPTION_NET_4" localSheetId="0">40000</definedName>
    <definedName name="PERSONAL_PROPERTY_1" localSheetId="0">10000</definedName>
    <definedName name="PERSONAL_PROPERTY_2" localSheetId="0">20000</definedName>
    <definedName name="PERSONAL_PROPERTY_3" localSheetId="0">30000</definedName>
    <definedName name="PERSONAL_PROPERTY_4" localSheetId="0">40000</definedName>
    <definedName name="QUARTER" localSheetId="0">1</definedName>
    <definedName name="REAL_ESTATE_1" localSheetId="0">10000</definedName>
    <definedName name="REAL_ESTATE_2" localSheetId="0">20000</definedName>
    <definedName name="REAL_ESTATE_3" localSheetId="0">30000</definedName>
    <definedName name="REAL_ESTATE_4" localSheetId="0">40000</definedName>
    <definedName name="TAX_YEAR" localSheetId="0">2025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E8" i="3"/>
  <c r="D8" i="3"/>
  <c r="C8" i="3"/>
  <c r="B8" i="3"/>
  <c r="E13" i="3"/>
  <c r="D13" i="3"/>
  <c r="C13" i="3"/>
  <c r="B13" i="3"/>
  <c r="E10" i="3"/>
  <c r="D10" i="3"/>
  <c r="C10" i="3"/>
  <c r="B10" i="3"/>
  <c r="E9" i="3"/>
  <c r="D9" i="3"/>
  <c r="C9" i="3"/>
  <c r="B9" i="3"/>
  <c r="A5" i="3"/>
  <c r="F10" i="3" l="1"/>
  <c r="D12" i="3" l="1"/>
  <c r="D14" i="3" s="1"/>
  <c r="C12" i="3"/>
  <c r="B12" i="3"/>
  <c r="B14" i="3" s="1"/>
  <c r="E12" i="3"/>
  <c r="E14" i="3" l="1"/>
  <c r="C14" i="3"/>
  <c r="F13" i="3"/>
  <c r="F9" i="3"/>
  <c r="F12" i="3"/>
  <c r="F14" i="3" l="1"/>
</calcChain>
</file>

<file path=xl/sharedStrings.xml><?xml version="1.0" encoding="utf-8"?>
<sst xmlns="http://schemas.openxmlformats.org/spreadsheetml/2006/main" count="10" uniqueCount="10">
  <si>
    <t>TAX YEAR</t>
  </si>
  <si>
    <t>Total</t>
  </si>
  <si>
    <t>REAL ESTATE  (INCREASE)</t>
  </si>
  <si>
    <t>PERSONAL PROPERTY (INCREASE)</t>
  </si>
  <si>
    <t>PUBLIC SERVICE ROLLS</t>
  </si>
  <si>
    <t>TOTAL NET  ASSESSMENT INCREASE</t>
  </si>
  <si>
    <t>HOMESTEAD EXEMPTION NET DECREASE</t>
  </si>
  <si>
    <t>NET TOTAL ASSESSMENT INCREASE</t>
  </si>
  <si>
    <t>ORLEANS PARISH ASSESSOR'S OFFICE</t>
  </si>
  <si>
    <t>SUPPLEMENTAL TAX ROLLS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</si>
</sst>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AS OF &quot;mmmm\ d\,\ yyyy"/>
  </numFmts>
  <fonts count="12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2"/>
      <color rgb="FF000000"/>
      <name val="Calibri"/>
      <family val="2"/>
    </font>
    <font>
      <b/>
      <sz val="11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2" xfId="0" applyFont="1" applyBorder="1"/>
    <xf numFmtId="0" fontId="6" fillId="0" borderId="3" xfId="0" applyFont="1" applyBorder="1"/>
    <xf numFmtId="0" fontId="8" fillId="0" borderId="4" xfId="0" applyFont="1" applyBorder="1"/>
    <xf numFmtId="0" fontId="9" fillId="0" borderId="0" xfId="0" applyFont="1"/>
    <xf numFmtId="0" fontId="10" fillId="0" borderId="0" xfId="0" applyFont="1"/>
    <xf numFmtId="0" fontId="5" fillId="0" borderId="8" xfId="0" applyFon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3" fontId="0" fillId="0" borderId="0" xfId="0" applyNumberFormat="1"/>
    <xf numFmtId="164" fontId="10" fillId="0" borderId="0" xfId="0" applyNumberFormat="1" applyFont="1" applyAlignment="1">
      <alignment horizontal="left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3" fontId="3" fillId="0" borderId="5" xfId="0" applyNumberFormat="1" applyFont="1" applyBorder="1" applyAlignment="1">
      <alignment horizontal="center" vertical="center"/>
    </xf>
    <xf numFmtId="3" fontId="5" fillId="0" borderId="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8" fontId="11" fillId="0" borderId="1" xfId="0" applyNumberFormat="1" applyFont="1" applyBorder="1" applyAlignment="1">
      <alignment horizontal="center" vertical="center"/>
    </xf>
    <xf numFmtId="38" fontId="7" fillId="0" borderId="1" xfId="0" applyNumberFormat="1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</cellXfs>
  <cellStyles count="3">
    <cellStyle name="Comma 2" xfId="2" xr:uid="{E192906C-D10B-4E54-A2B4-17C85561E031}"/>
    <cellStyle name="Normal" xfId="0" builtinId="0"/>
    <cellStyle name="Normal 2" xfId="1" xr:uid="{553BAE6B-F015-450E-B61D-B079F47C203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D9E3F-27DB-4313-83CF-987260E04294}">
  <dimension ref="A1:G18"/>
  <sheetViews>
    <sheetView tabSelected="1" workbookViewId="0">
      <selection activeCell="D2" sqref="D2"/>
    </sheetView>
  </sheetViews>
  <sheetFormatPr defaultRowHeight="15" x14ac:dyDescent="0.25"/>
  <cols>
    <col min="1" max="1" width="40.28515625" customWidth="1"/>
    <col min="2" max="2" width="17.28515625" customWidth="1"/>
    <col min="3" max="3" width="20.5703125" customWidth="1"/>
    <col min="4" max="4" width="17.85546875" customWidth="1"/>
    <col min="5" max="5" width="23.42578125" customWidth="1"/>
    <col min="6" max="6" width="20.42578125" customWidth="1"/>
  </cols>
  <sheetData>
    <row r="1" spans="1:7" ht="18.75" x14ac:dyDescent="0.3">
      <c r="A1" s="7" t="s">
        <v>8</v>
      </c>
    </row>
    <row r="2" spans="1:7" ht="18.75" x14ac:dyDescent="0.3">
      <c r="A2" s="7" t="s">
        <v>9</v>
      </c>
    </row>
    <row r="3" spans="1:7" ht="18.75" x14ac:dyDescent="0.3">
      <c r="A3" s="7" t="str">
        <f ca="1">"CALENDAR YEAR " &amp; YEAR(TODAY()) &amp; " - QUARTER " &amp; QUARTER</f>
        <v>CALENDAR YEAR 2026 - QUARTER 1</v>
      </c>
    </row>
    <row r="4" spans="1:7" ht="18.75" x14ac:dyDescent="0.3">
      <c r="A4" s="7" t="str">
        <f>"TAX YEARS " &amp; (TAX_YEAR - 3) &amp; " TO " &amp; TAX_YEAR</f>
        <v>TAX YEARS 2022 TO 2025</v>
      </c>
    </row>
    <row r="5" spans="1:7" ht="18.75" x14ac:dyDescent="0.3">
      <c r="A5" s="13" t="str">
        <f ca="1">"AS OF " &amp; UPPER(TEXT(TODAY(), "mmmm d, yyyy"))</f>
        <v>AS OF AUGUST 20, 2026</v>
      </c>
    </row>
    <row r="6" spans="1:7" ht="15.75" thickBot="1" x14ac:dyDescent="0.3">
      <c r="A6" s="1"/>
      <c r="B6" s="1"/>
      <c r="C6" s="1"/>
      <c r="D6" s="1"/>
      <c r="E6" s="1"/>
      <c r="F6" s="1"/>
      <c r="G6" s="1"/>
    </row>
    <row r="7" spans="1:7" ht="18.75" x14ac:dyDescent="0.3">
      <c r="A7" s="2"/>
      <c r="B7" s="27" t="s">
        <v>0</v>
      </c>
      <c r="C7" s="28"/>
      <c r="D7" s="28"/>
      <c r="E7" s="29"/>
      <c r="F7" s="8"/>
      <c r="G7" s="1"/>
    </row>
    <row r="8" spans="1:7" ht="19.5" thickBot="1" x14ac:dyDescent="0.35">
      <c r="A8" s="2"/>
      <c r="B8" s="9">
        <f>TAX_YEAR</f>
        <v>2025</v>
      </c>
      <c r="C8" s="10">
        <f>TAX_YEAR - 1</f>
        <v>2024</v>
      </c>
      <c r="D8" s="10">
        <f>TAX_YEAR - 2</f>
        <v>2023</v>
      </c>
      <c r="E8" s="10">
        <f>TAX_YEAR - 3</f>
        <v>2022</v>
      </c>
      <c r="F8" s="11" t="s">
        <v>1</v>
      </c>
      <c r="G8" s="1"/>
    </row>
    <row r="9" spans="1:7" ht="28.15" customHeight="1" x14ac:dyDescent="0.25">
      <c r="A9" s="3" t="s">
        <v>2</v>
      </c>
      <c r="B9" s="17">
        <f>REAL_ESTATE_1</f>
        <v>10000</v>
      </c>
      <c r="C9" s="17">
        <f>REAL_ESTATE_2</f>
        <v>20000</v>
      </c>
      <c r="D9" s="17">
        <f>REAL_ESTATE_3</f>
        <v>30000</v>
      </c>
      <c r="E9" s="17">
        <f>REAL_ESTATE_4</f>
        <v>40000</v>
      </c>
      <c r="F9" s="18">
        <f>SUM(B9:E9)</f>
        <v>100000</v>
      </c>
      <c r="G9" s="14"/>
    </row>
    <row r="10" spans="1:7" ht="28.15" customHeight="1" x14ac:dyDescent="0.25">
      <c r="A10" s="4" t="s">
        <v>3</v>
      </c>
      <c r="B10" s="19">
        <f>PERSONAL_PROPERTY_1</f>
        <v>10000</v>
      </c>
      <c r="C10" s="19">
        <f>PERSONAL_PROPERTY_2</f>
        <v>20000</v>
      </c>
      <c r="D10" s="19">
        <f>PERSONAL_PROPERTY_3</f>
        <v>30000</v>
      </c>
      <c r="E10" s="19">
        <f>PERSONAL_PROPERTY_4</f>
        <v>40000</v>
      </c>
      <c r="F10" s="20">
        <f>SUM(B10:E10)</f>
        <v>100000</v>
      </c>
      <c r="G10" s="14"/>
    </row>
    <row r="11" spans="1:7" ht="28.15" customHeight="1" x14ac:dyDescent="0.25">
      <c r="A11" s="4" t="s">
        <v>4</v>
      </c>
      <c r="B11" s="19">
        <v>0</v>
      </c>
      <c r="C11" s="19">
        <v>0</v>
      </c>
      <c r="D11" s="19">
        <v>0</v>
      </c>
      <c r="E11" s="19">
        <v>0</v>
      </c>
      <c r="F11" s="20">
        <v>0</v>
      </c>
      <c r="G11" s="14"/>
    </row>
    <row r="12" spans="1:7" ht="28.15" customHeight="1" x14ac:dyDescent="0.25">
      <c r="A12" s="4" t="s">
        <v>5</v>
      </c>
      <c r="B12" s="21">
        <f>SUM(B9:B11)</f>
        <v>20000</v>
      </c>
      <c r="C12" s="21">
        <f t="shared" ref="C12:E12" si="0">SUM(C9:C11)</f>
        <v>40000</v>
      </c>
      <c r="D12" s="21">
        <f t="shared" si="0"/>
        <v>60000</v>
      </c>
      <c r="E12" s="21">
        <f t="shared" si="0"/>
        <v>80000</v>
      </c>
      <c r="F12" s="21">
        <f>SUM(B12:E12)</f>
        <v>200000</v>
      </c>
      <c r="G12" s="14"/>
    </row>
    <row r="13" spans="1:7" s="6" customFormat="1" ht="28.15" customHeight="1" x14ac:dyDescent="0.25">
      <c r="A13" s="4" t="s">
        <v>6</v>
      </c>
      <c r="B13" s="22">
        <f>HOMESTEAD_EXEMPTION_NET_1</f>
        <v>10000</v>
      </c>
      <c r="C13" s="22">
        <f>HOMESTEAD_EXEMPTION_NET_2</f>
        <v>20000</v>
      </c>
      <c r="D13" s="22">
        <f>HOMESTEAD_EXEMPTION_NET_3</f>
        <v>30000</v>
      </c>
      <c r="E13" s="22">
        <f>HOMESTEAD_EXEMPTION_NET_4</f>
        <v>40000</v>
      </c>
      <c r="F13" s="23">
        <f>SUM(B13:E13)</f>
        <v>100000</v>
      </c>
      <c r="G13" s="15"/>
    </row>
    <row r="14" spans="1:7" ht="28.15" customHeight="1" thickBot="1" x14ac:dyDescent="0.3">
      <c r="A14" s="5" t="s">
        <v>7</v>
      </c>
      <c r="B14" s="24">
        <f>SUM(B12,ABS(B13))</f>
        <v>30000</v>
      </c>
      <c r="C14" s="24">
        <f>SUM(C12,ABS(C13))</f>
        <v>60000</v>
      </c>
      <c r="D14" s="24">
        <f>SUM(D12,ABS(D13))</f>
        <v>90000</v>
      </c>
      <c r="E14" s="24">
        <f>SUM(E12,ABS(E13))</f>
        <v>120000</v>
      </c>
      <c r="F14" s="25">
        <f>SUM(B14:E14)</f>
        <v>300000</v>
      </c>
      <c r="G14" s="14"/>
    </row>
    <row r="15" spans="1:7" x14ac:dyDescent="0.25">
      <c r="B15" s="26"/>
      <c r="C15" s="26"/>
      <c r="D15" s="26"/>
      <c r="E15" s="26"/>
      <c r="F15" s="26"/>
      <c r="G15" s="16"/>
    </row>
    <row r="16" spans="1:7" x14ac:dyDescent="0.25">
      <c r="B16" s="26"/>
      <c r="C16" s="26"/>
      <c r="D16" s="26"/>
      <c r="E16" s="26"/>
      <c r="F16" s="26"/>
      <c r="G16" s="16"/>
    </row>
    <row r="17" spans="2:7" x14ac:dyDescent="0.25">
      <c r="B17" s="16"/>
      <c r="C17" s="16"/>
      <c r="D17" s="16"/>
      <c r="E17" s="16"/>
      <c r="F17" s="16"/>
      <c r="G17" s="16"/>
    </row>
    <row r="18" spans="2:7" x14ac:dyDescent="0.25">
      <c r="B18" s="12"/>
    </row>
  </sheetData>
  <mergeCells count="1">
    <mergeCell ref="B7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CONSOLIDATED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Joseph Adogeri</cp:lastModifiedBy>
  <dcterms:created xsi:type="dcterms:W3CDTF">2025-07-31T16:29:20Z</dcterms:created>
  <dcterms:modified xsi:type="dcterms:W3CDTF">2026-08-20T19:53:57Z</dcterms:modified>
</cp:coreProperties>
</file>