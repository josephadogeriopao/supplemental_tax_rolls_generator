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adogeri\Desktop\source\supplemental_tax_rolls_generator\templates\"/>
    </mc:Choice>
  </mc:AlternateContent>
  <xr:revisionPtr revIDLastSave="0" documentId="8_{5A863D91-70C0-4FA2-9A9D-4C5F504E0025}" xr6:coauthVersionLast="47" xr6:coauthVersionMax="47" xr10:uidLastSave="{00000000-0000-0000-0000-000000000000}"/>
  <bookViews>
    <workbookView xWindow="-28920" yWindow="1245" windowWidth="29040" windowHeight="15720" xr2:uid="{00000000-000D-0000-FFFF-FFFF00000000}"/>
  </bookViews>
  <sheets>
    <sheet name="CONSOLIDATED SUMMARY" sheetId="3" r:id="rId1"/>
    <sheet name="REAL PROPERTY DETAILS" sheetId="1" r:id="rId2"/>
    <sheet name="REAL SQL" sheetId="4" r:id="rId3"/>
    <sheet name="PP DETAILS" sheetId="5" r:id="rId4"/>
    <sheet name="PP SQ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D8" i="3"/>
  <c r="C8" i="3"/>
  <c r="B8" i="3"/>
  <c r="A4" i="3"/>
  <c r="A3" i="3"/>
  <c r="A5" i="3"/>
  <c r="U23" i="1"/>
  <c r="U38" i="1" s="1"/>
  <c r="S23" i="1"/>
  <c r="M23" i="1"/>
  <c r="V72" i="1"/>
  <c r="U72" i="1"/>
  <c r="X72" i="1" s="1"/>
  <c r="T72" i="1"/>
  <c r="Q72" i="1"/>
  <c r="P72" i="1"/>
  <c r="O72" i="1"/>
  <c r="N72" i="1"/>
  <c r="K72" i="1"/>
  <c r="J72" i="1"/>
  <c r="I72" i="1"/>
  <c r="T38" i="1"/>
  <c r="Q38" i="1"/>
  <c r="P38" i="1"/>
  <c r="O38" i="1"/>
  <c r="N38" i="1"/>
  <c r="K38" i="1"/>
  <c r="J38" i="1"/>
  <c r="I38" i="1"/>
  <c r="V16" i="1"/>
  <c r="U16" i="1"/>
  <c r="X16" i="1" s="1"/>
  <c r="T16" i="1"/>
  <c r="Q16" i="1"/>
  <c r="V38" i="1"/>
  <c r="P16" i="1"/>
  <c r="O16" i="1"/>
  <c r="N16" i="1"/>
  <c r="K16" i="1"/>
  <c r="J16" i="1"/>
  <c r="I16" i="1"/>
  <c r="I160" i="1"/>
  <c r="J160" i="1"/>
  <c r="K160" i="1"/>
  <c r="N160" i="1"/>
  <c r="O160" i="1"/>
  <c r="P160" i="1"/>
  <c r="Q160" i="1"/>
  <c r="T160" i="1"/>
  <c r="U160" i="1"/>
  <c r="V160" i="1"/>
  <c r="J3" i="5"/>
  <c r="J6" i="5"/>
  <c r="H9" i="5"/>
  <c r="I9" i="5"/>
  <c r="J9" i="5"/>
  <c r="H12" i="5"/>
  <c r="I12" i="5"/>
  <c r="J12" i="5"/>
  <c r="X160" i="1" l="1"/>
  <c r="Q162" i="1"/>
  <c r="T162" i="1"/>
  <c r="K162" i="1"/>
  <c r="N162" i="1"/>
  <c r="U162" i="1"/>
  <c r="B13" i="3"/>
  <c r="V162" i="1" l="1"/>
  <c r="X38" i="1" l="1"/>
  <c r="C10" i="3"/>
  <c r="D10" i="3"/>
  <c r="I6" i="5"/>
  <c r="H6" i="5"/>
  <c r="E10" i="3"/>
  <c r="I3" i="5"/>
  <c r="H3" i="5"/>
  <c r="B10" i="3" l="1"/>
  <c r="F10" i="3" s="1"/>
  <c r="H14" i="5"/>
  <c r="J14" i="5"/>
  <c r="I14" i="5"/>
  <c r="D13" i="3" l="1"/>
  <c r="C13" i="3" l="1"/>
  <c r="D9" i="3"/>
  <c r="D12" i="3" s="1"/>
  <c r="D14" i="3" s="1"/>
  <c r="C9" i="3"/>
  <c r="C12" i="3" s="1"/>
  <c r="B9" i="3"/>
  <c r="B12" i="3" s="1"/>
  <c r="B14" i="3" s="1"/>
  <c r="E9" i="3"/>
  <c r="E12" i="3" s="1"/>
  <c r="E13" i="3"/>
  <c r="E14" i="3" l="1"/>
  <c r="C14" i="3"/>
  <c r="F14" i="3" s="1"/>
  <c r="F13" i="3"/>
  <c r="F9" i="3"/>
  <c r="F12" i="3"/>
</calcChain>
</file>

<file path=xl/sharedStrings.xml><?xml version="1.0" encoding="utf-8"?>
<sst xmlns="http://schemas.openxmlformats.org/spreadsheetml/2006/main" count="802" uniqueCount="337">
  <si>
    <t>PARID</t>
  </si>
  <si>
    <t>ALTID</t>
  </si>
  <si>
    <t>TAXYR</t>
  </si>
  <si>
    <t>OWN1</t>
  </si>
  <si>
    <t>ROLLTYPE</t>
  </si>
  <si>
    <t>LUC</t>
  </si>
  <si>
    <t>DMG_FLAG</t>
  </si>
  <si>
    <t>ASMT_FLAG</t>
  </si>
  <si>
    <t>OLD_LAND</t>
  </si>
  <si>
    <t>OLD_BLDG</t>
  </si>
  <si>
    <t>OLD_TOTAL_ASMT</t>
  </si>
  <si>
    <t>OLD_HOMESTEAD</t>
  </si>
  <si>
    <t>NEW_LAND</t>
  </si>
  <si>
    <t>NEW_BLDG</t>
  </si>
  <si>
    <t>NEW_TOTAL_ASMT</t>
  </si>
  <si>
    <t>NEW_HOMESTEAD</t>
  </si>
  <si>
    <t>TOTAL_ASMT_DIFF</t>
  </si>
  <si>
    <t>HOMESTEAD_DIFF</t>
  </si>
  <si>
    <t>REAL</t>
  </si>
  <si>
    <t>TAX YEAR</t>
  </si>
  <si>
    <t>Total</t>
  </si>
  <si>
    <t>REAL ESTATE  (INCREASE)</t>
  </si>
  <si>
    <t>PERSONAL PROPERTY (INCREASE)</t>
  </si>
  <si>
    <t>PUBLIC SERVICE ROLLS</t>
  </si>
  <si>
    <t>TOTAL NET  ASSESSMENT INCREASE</t>
  </si>
  <si>
    <t>HOMESTEAD EXEMPTION NET DECREASE</t>
  </si>
  <si>
    <t>NET TOTAL ASSESSMENT INCREASE</t>
  </si>
  <si>
    <t>Grand Total</t>
  </si>
  <si>
    <t>ORLEANS PARISH ASSESSOR'S OFFICE</t>
  </si>
  <si>
    <t>SUPPLEMENTAL TAX ROLLS SUMMARY</t>
  </si>
  <si>
    <t>OWNER_NAME</t>
  </si>
  <si>
    <t>NOTICE_DATE</t>
  </si>
  <si>
    <t>QTR</t>
  </si>
  <si>
    <t>OLD_NETASMT</t>
  </si>
  <si>
    <t>NEW_TOTALASMT</t>
  </si>
  <si>
    <t>NET_ASMTDIFF</t>
  </si>
  <si>
    <t>REASON</t>
  </si>
  <si>
    <t>PP</t>
  </si>
  <si>
    <t>TOTAL</t>
  </si>
  <si>
    <t>520</t>
  </si>
  <si>
    <t>510</t>
  </si>
  <si>
    <t>2432-DELACHAISEST</t>
  </si>
  <si>
    <t>614325503</t>
  </si>
  <si>
    <t>MR. &amp; MRS. ALVIN BATISTE SR.</t>
  </si>
  <si>
    <t>488</t>
  </si>
  <si>
    <t>550</t>
  </si>
  <si>
    <t>select 
    T.PARID, 
    T.ALTID, 
    T.TAXYR, 
    t.owner_name owner, 
    t.ROLLTYPE,
    A.LUC, 
    A.FLAG15 "DMG_FLAG",
    A.FLAG10 "ASMT FLAG", 
    t.OLD_LANDASMT , 
    T.OLD_BLDGASMT ,
    T.OLD_LANDASMT + OLD_BLDGASMT OLD_TOTALASMT,
    T.OLD_HEAMT "OLD_HOMESTEAD",
    T.NEW_LANDASMT , 
    T.NEW_BLDGASMT,
    T.NEW_LANDASMT + T.NEW_BLDGASMT NEW_TOTALASMT,  
    T.NEW_HEAMT "NEW_HOMESTEAD",
    (NEW_LANDASMT + NEW_BLDGASMT) -(OLD_LANDASMT + OLD_BLDGASMT) ASMT_TOTAL_DIFF,
    (NEW_HEAMT - OLD_HEAMT)  "HOMESTEAD_DIFF"
from NOA_SUPPLEMENTAL_TAX_ROLLS_staging T
LEFT JOIN ASMT A ON (T.PARID = A.PARID AND A.TAXYR = T.TAXYR AND A.CUR = 'Y' )
LEFT JOIN ALTIDINDX I ON (I.PARID = T.PARID AND I.TAXYR = T.TAXYR)
LEFT JOIN OWNDAT O ON (O.PARID = T.PARID AND O.TAXYR = T.TAXYR AND O.CUR = 'Y')
WHERE T.ROLLTYPE='REAL'
ORDER BY T.TAXYR
;</t>
  </si>
  <si>
    <t xml:space="preserve">
SELECT
PARID, OWNER_NAME, TEN_DAY_NOTICE_MAILDATE NOTICE_DATE, 2 QUARTER, TAXYR, ALTID,  
ROLLTYPE, --OLD_LANDASMT, OLD_BLDGASMT, 
--OLD_LANDASMT, OLD_BLDGASMT,
OLD_TOTALASMT,
--OLD_HEAMT,
--NEW_LANDASMT, NEW_BLDGASMT,
NEW_TOTALASMT,  
--NEW_HEAMT,
(NEW_TOTALASMT - OLD_TOTALASMT) NETASMT_DIFF,
REASON
--CASE WHEN TEN_DAY_NOTICE_MAILDATE &lt; '01-JAN-2022'  THEN '1' ELSE NVL(TO_CHAR (TEN_DAY_NOTICE_MAILDATE, 'Q'), '1') END QUARTER
FROM NOA_SUPPLEMENTAL_TAX_ROLLS_STAGING S
WHERE NVL(ROLLTYPE, 'REAL') = 'PP'
--AND TEN_DAY_NOTICE_MAILDATE BETWEEN '1-APR-2022' AND '30-JUN-2022'
order by taxyr, altid, parid
;
</t>
  </si>
  <si>
    <t>1620-FRANKLINAV0000001P</t>
  </si>
  <si>
    <t>Y BROTHERS LLC DBA LA DIVA</t>
  </si>
  <si>
    <t>38P104703P</t>
  </si>
  <si>
    <t>NEW BUSINESS AT LOCATION. OMITTED FROM TAX ROLLS.</t>
  </si>
  <si>
    <t>14575-MICHOUDBL</t>
  </si>
  <si>
    <t>39W909566</t>
  </si>
  <si>
    <t>MR. JOHN CUMMINGS III</t>
  </si>
  <si>
    <t>3728-VINCENNESPL</t>
  </si>
  <si>
    <t>615109602</t>
  </si>
  <si>
    <t>EST. OF MRS. AGATHA F. SUNSERI, C/O MS. A. G. VIDRINE, ET AL</t>
  </si>
  <si>
    <t>1646-STANDREWST</t>
  </si>
  <si>
    <t>412106107</t>
  </si>
  <si>
    <t>MR. ALLEN BORNE</t>
  </si>
  <si>
    <t>8226-APPLEST</t>
  </si>
  <si>
    <t>716321718</t>
  </si>
  <si>
    <t>EST. OF MR. BRADDOCK CHAMBLISS</t>
  </si>
  <si>
    <t>1033-ALVARST</t>
  </si>
  <si>
    <t>39W206322</t>
  </si>
  <si>
    <t>MRS. JEAN A. LOUIS &amp; EST. OF MS. HAZEL L. BERRYHILL</t>
  </si>
  <si>
    <t>1525-NDERBIGNYST</t>
  </si>
  <si>
    <t>37W109008</t>
  </si>
  <si>
    <t>EST. OF MRS. MARIE S. HENO, ET AL</t>
  </si>
  <si>
    <t>11260-NOTAWAYLN</t>
  </si>
  <si>
    <t>39W086006</t>
  </si>
  <si>
    <t>MR. &amp; MRS. RICHARD G. BUSH</t>
  </si>
  <si>
    <t>9756-WROCKTONCR</t>
  </si>
  <si>
    <t>39W043614</t>
  </si>
  <si>
    <t>EST. OF MS. SHIRLEY I. BURNS BRISCOE</t>
  </si>
  <si>
    <t>2732-LAVENDERST</t>
  </si>
  <si>
    <t>38W304907</t>
  </si>
  <si>
    <t>EST. OF MRS. ALEIDA RAMIREZ VALDEZ, ET AL</t>
  </si>
  <si>
    <t>2819-STANTHONYST</t>
  </si>
  <si>
    <t>37W306224</t>
  </si>
  <si>
    <t>EST. OF THE W &amp; W MILES IRREVOCABLE R.E. TRUST</t>
  </si>
  <si>
    <t>2215-APTUREAUDAV</t>
  </si>
  <si>
    <t>37W204419</t>
  </si>
  <si>
    <t>EST. OF MR. &amp; MRS. HARRISON BRIGHT</t>
  </si>
  <si>
    <t>14570-MICHOUDBL</t>
  </si>
  <si>
    <t>39W965140</t>
  </si>
  <si>
    <t>821-STMAURICEAV</t>
  </si>
  <si>
    <t>39W110603</t>
  </si>
  <si>
    <t>EST. OF MS. JEANETTE T. WILLIAMS, C/O ANTOINETTE V. WILLIAMS</t>
  </si>
  <si>
    <t>2668-MERCEDESBL</t>
  </si>
  <si>
    <t>513708341</t>
  </si>
  <si>
    <t>MR. DARRELL H. RICHARDS</t>
  </si>
  <si>
    <t>1901-ROUSSEAUST</t>
  </si>
  <si>
    <t>411102503</t>
  </si>
  <si>
    <t>WAL-MART REAL ESTATE BUSINESS TRUST</t>
  </si>
  <si>
    <t>930</t>
  </si>
  <si>
    <t>1237-TRICOUST</t>
  </si>
  <si>
    <t>39W300101</t>
  </si>
  <si>
    <t>MS. DIANE H. WILLIAMS</t>
  </si>
  <si>
    <t>916-KENTUCKYST</t>
  </si>
  <si>
    <t>39W201815</t>
  </si>
  <si>
    <t>EST. OF MR. &amp; MRS. JAMES L. TAYLOR JR.</t>
  </si>
  <si>
    <t>1936-PAINTERSST</t>
  </si>
  <si>
    <t>38W109612</t>
  </si>
  <si>
    <t>EST. OF MR. ABRAHAM HOSSAINPOUR</t>
  </si>
  <si>
    <t>2440-DAUPHINEST</t>
  </si>
  <si>
    <t>38W101413</t>
  </si>
  <si>
    <t>MR. ELLIS H. CHAPPELL JR.</t>
  </si>
  <si>
    <t>440-DEARMASST</t>
  </si>
  <si>
    <t>513300411</t>
  </si>
  <si>
    <t>MS. VERONICA J. WRIGHT</t>
  </si>
  <si>
    <t>738-SJEFFERSONDAVISPW</t>
  </si>
  <si>
    <t>105206011</t>
  </si>
  <si>
    <t>MRS. IRENE MENDIVIL</t>
  </si>
  <si>
    <t>821-WAGNERST</t>
  </si>
  <si>
    <t>513203508</t>
  </si>
  <si>
    <t>MR. &amp; MRS ALVIN COLLINS</t>
  </si>
  <si>
    <t>626-DELARONDEST</t>
  </si>
  <si>
    <t>513103115</t>
  </si>
  <si>
    <t>MS. LEANN F. LOGSDON</t>
  </si>
  <si>
    <t>4023-NROBERTSONST</t>
  </si>
  <si>
    <t>39W401603</t>
  </si>
  <si>
    <t>MS. EVELYN J. SCOTT</t>
  </si>
  <si>
    <t>2038-PHILIPST</t>
  </si>
  <si>
    <t>412203808</t>
  </si>
  <si>
    <t>MRS. BARBARA W. KING</t>
  </si>
  <si>
    <t>6528-MARSHALFOCHST</t>
  </si>
  <si>
    <t>206404419</t>
  </si>
  <si>
    <t>MR. &amp; MRS. MATTHEW HEMPHILL</t>
  </si>
  <si>
    <t>2510-MARRAV</t>
  </si>
  <si>
    <t>513405904</t>
  </si>
  <si>
    <t>MS. PATRICIA D BAZLEY</t>
  </si>
  <si>
    <t>1257-LAURADALEDR</t>
  </si>
  <si>
    <t>513511011</t>
  </si>
  <si>
    <t>MISS BEATRICE IDELL FINE, ET AL</t>
  </si>
  <si>
    <t>2713-DANTEST</t>
  </si>
  <si>
    <t>716324909</t>
  </si>
  <si>
    <t>MS. BRANDY MITCHELL</t>
  </si>
  <si>
    <t>26-MUIRFIELDPL</t>
  </si>
  <si>
    <t>513845239</t>
  </si>
  <si>
    <t>THE REES FAMILY TRUST</t>
  </si>
  <si>
    <t>7731-NELSONST</t>
  </si>
  <si>
    <t>716321201</t>
  </si>
  <si>
    <t>MS. JULIANN RICCA PUDERER, ET AL</t>
  </si>
  <si>
    <t>4419-PARISAV</t>
  </si>
  <si>
    <t>37W515515</t>
  </si>
  <si>
    <t>MS. AMANDA BOWERS, ET AL</t>
  </si>
  <si>
    <t>830-CHARTRESST</t>
  </si>
  <si>
    <t>207100604</t>
  </si>
  <si>
    <t>EST. OF MRS. TUNG H. LEE</t>
  </si>
  <si>
    <t>62-TERNST</t>
  </si>
  <si>
    <t>207301825</t>
  </si>
  <si>
    <t>EST. OF MS. MARIE M. ARMBRUSTER, ET AL</t>
  </si>
  <si>
    <t>2232-REVJOHNRAPHAELJRWY</t>
  </si>
  <si>
    <t>412300611</t>
  </si>
  <si>
    <t>EST. OF MISS ROSEMARY SAWYER</t>
  </si>
  <si>
    <t>2304-3RDST</t>
  </si>
  <si>
    <t>412301102</t>
  </si>
  <si>
    <t>EST. OF MS. ROSANNA EWELL, ET AL</t>
  </si>
  <si>
    <t>1008-ELMIRAAV</t>
  </si>
  <si>
    <t>513207403</t>
  </si>
  <si>
    <t>EST. OF MS. CYNTHIA J. CAMPBELL</t>
  </si>
  <si>
    <t>644-MAGELLANST</t>
  </si>
  <si>
    <t>513310206</t>
  </si>
  <si>
    <t>EST. OF MRS. CEOLA D. MITCHELL, ET AL</t>
  </si>
  <si>
    <t>1701-SAUXLN</t>
  </si>
  <si>
    <t>513505413</t>
  </si>
  <si>
    <t>EST. OF MR. &amp; MRS. JURDON D. LEONARD</t>
  </si>
  <si>
    <t>2231-LAURADALEDR</t>
  </si>
  <si>
    <t>513512404</t>
  </si>
  <si>
    <t>EST. OF MR. &amp; MRS. FRANK BRADLEY</t>
  </si>
  <si>
    <t>2929-HUDSONST</t>
  </si>
  <si>
    <t>513605305</t>
  </si>
  <si>
    <t>MR. THEADROW MARK JR.</t>
  </si>
  <si>
    <t>3237-PLYMOUTHPL</t>
  </si>
  <si>
    <t>513813709</t>
  </si>
  <si>
    <t>EST. OF MS. ELSIE LACOUR RAINE</t>
  </si>
  <si>
    <t>3116-BLAIRST</t>
  </si>
  <si>
    <t>513814826</t>
  </si>
  <si>
    <t>EST. OF MS. BEVERLY C. AMBROSE</t>
  </si>
  <si>
    <t>3530-MANSFIELDAV</t>
  </si>
  <si>
    <t>513832404</t>
  </si>
  <si>
    <t>EST. OF MR. &amp; MRS. LOUIS DAVID SR.</t>
  </si>
  <si>
    <t>5009-ANNUNCIATIONST</t>
  </si>
  <si>
    <t>614105905</t>
  </si>
  <si>
    <t>EST. OF MS. BARBARA A. GRANT</t>
  </si>
  <si>
    <t>611-ROBERTST</t>
  </si>
  <si>
    <t>614106003</t>
  </si>
  <si>
    <t>EST. OF MS. RHODESSA C. PRICE, ET AL</t>
  </si>
  <si>
    <t>5223-CONSTANCEST</t>
  </si>
  <si>
    <t>614123303</t>
  </si>
  <si>
    <t>EST. OF MRS. MATTIE S. SHANNON</t>
  </si>
  <si>
    <t>818-JENAST</t>
  </si>
  <si>
    <t>614124023</t>
  </si>
  <si>
    <t>EST. OF MR. &amp; MRS. JOHN L. PECARRERE</t>
  </si>
  <si>
    <t>1215-CONSTANTINOPLEST</t>
  </si>
  <si>
    <t>614222017</t>
  </si>
  <si>
    <t>EST. OF MRS. MARY BENSON PUPENE</t>
  </si>
  <si>
    <t>3421-LOYOLAST</t>
  </si>
  <si>
    <t>614321917</t>
  </si>
  <si>
    <t>EST. OF MR. OLANDER BAJOIE JR.</t>
  </si>
  <si>
    <t>1620-NROCHEBLAVEST</t>
  </si>
  <si>
    <t>37W205906</t>
  </si>
  <si>
    <t>MR. ADAM DERBIGNY</t>
  </si>
  <si>
    <t>540</t>
  </si>
  <si>
    <t>2930-JEFFERSONAV</t>
  </si>
  <si>
    <t>614341510</t>
  </si>
  <si>
    <t>EST. OF MR. VICTOR MALINDA</t>
  </si>
  <si>
    <t>3317-LOUISIANAAVEPW</t>
  </si>
  <si>
    <t>614361011</t>
  </si>
  <si>
    <t>EST. OF MRS. HELEN D. JOHNSON, C/O MS. LYNN M. JOJHNSON</t>
  </si>
  <si>
    <t>3326-TOLEDANOST</t>
  </si>
  <si>
    <t>614361044</t>
  </si>
  <si>
    <t>EST. OF MRS. CLARA W. HUNTER</t>
  </si>
  <si>
    <t>3959-LOUISIANAAVEPW</t>
  </si>
  <si>
    <t>614361413</t>
  </si>
  <si>
    <t>EST. OF MS. MILDRED G. VICTORIAN, ET AL</t>
  </si>
  <si>
    <t>623-NASHVILLEAV</t>
  </si>
  <si>
    <t>615102413</t>
  </si>
  <si>
    <t>EST. OF MR. JAMES A. MOUNGER</t>
  </si>
  <si>
    <t>5920-CONSTANCEST</t>
  </si>
  <si>
    <t>615102614</t>
  </si>
  <si>
    <t>EST. OF MRS. ELEANOR J. KRIMERMAN</t>
  </si>
  <si>
    <t>1007-ARABELLAST</t>
  </si>
  <si>
    <t>615103714</t>
  </si>
  <si>
    <t>EST. OF MR. JOSEPH E. YOUNG, ET AL</t>
  </si>
  <si>
    <t>2303-BROADWAYST</t>
  </si>
  <si>
    <t>615312606</t>
  </si>
  <si>
    <t>EST. OF MS. ANN M. PATTESON</t>
  </si>
  <si>
    <t>7005-PRITCHARDPL</t>
  </si>
  <si>
    <t>615316401</t>
  </si>
  <si>
    <t>EST. OF MS. RITA FREEMAN, ET AL</t>
  </si>
  <si>
    <t>1321-HILLARYST</t>
  </si>
  <si>
    <t>716201718</t>
  </si>
  <si>
    <t>EST. OF THE BEULAH P. BAPTISTE TRUST</t>
  </si>
  <si>
    <t>1622-HOLLYGROVEST</t>
  </si>
  <si>
    <t>716206104</t>
  </si>
  <si>
    <t>EST. OF MS. VIRGINIA R. DEAN</t>
  </si>
  <si>
    <t>8514-SPRUCEST</t>
  </si>
  <si>
    <t>716302525</t>
  </si>
  <si>
    <t>EST. OF MR. &amp; MRS. PERCY JEFFERSON</t>
  </si>
  <si>
    <t>232-LAKEMARINAAV2A</t>
  </si>
  <si>
    <t>716525247</t>
  </si>
  <si>
    <t>EST. OF MR. STANFORD H. LATTER</t>
  </si>
  <si>
    <t>1910-ANNETTEST</t>
  </si>
  <si>
    <t>37W112503</t>
  </si>
  <si>
    <t>EST. OF MS. SHIRLEY F. SANDERS</t>
  </si>
  <si>
    <t>1645-NGALVEZST</t>
  </si>
  <si>
    <t>37W202401</t>
  </si>
  <si>
    <t>MS. FREDA M. LEE, MS. NICHOL GREEN</t>
  </si>
  <si>
    <t>2609-FRENCHMENST</t>
  </si>
  <si>
    <t>37W212202</t>
  </si>
  <si>
    <t>EST. OF MS. EVELYN J. ADDISON</t>
  </si>
  <si>
    <t>2923-CASTIGLIONEST</t>
  </si>
  <si>
    <t>37W308113</t>
  </si>
  <si>
    <t>EST. OF MS. ZEVENAAR B. FLOWERS</t>
  </si>
  <si>
    <t>3121-DERBYPL</t>
  </si>
  <si>
    <t>37W310505</t>
  </si>
  <si>
    <t>MRS. OLGA S. HURST, ET AL</t>
  </si>
  <si>
    <t>3179-DESAIXBL</t>
  </si>
  <si>
    <t>37W312846</t>
  </si>
  <si>
    <t>EST. OF MR. NATHANIEL BANKS</t>
  </si>
  <si>
    <t>3406-TOUROST</t>
  </si>
  <si>
    <t>37W407909</t>
  </si>
  <si>
    <t>EST. OF MR. &amp; MR. ALVIN J. COULON</t>
  </si>
  <si>
    <t>4222-RAYNEDR</t>
  </si>
  <si>
    <t>37W421311</t>
  </si>
  <si>
    <t>EST. OF MRS. ELLEN J. WHEELER</t>
  </si>
  <si>
    <t>5142-CHAMBERLAINDR</t>
  </si>
  <si>
    <t>37W514811</t>
  </si>
  <si>
    <t>EST. OF MRS. ANDREA T. LUCAS</t>
  </si>
  <si>
    <t>5641-STBERNARDAV</t>
  </si>
  <si>
    <t>37W525008</t>
  </si>
  <si>
    <t>EST. OF MR. DONALD J. GUERINGER</t>
  </si>
  <si>
    <t>2538-ACACIAST</t>
  </si>
  <si>
    <t>38W304111</t>
  </si>
  <si>
    <t>EST. OF MS. CHARLEAN GAUDET</t>
  </si>
  <si>
    <t>3632-FAIRMONTDR</t>
  </si>
  <si>
    <t>38W309211</t>
  </si>
  <si>
    <t>EST. OF MS. SHIRLEY FORD NED, ET AL</t>
  </si>
  <si>
    <t>4445-VENUSST</t>
  </si>
  <si>
    <t>38W401015</t>
  </si>
  <si>
    <t>EST. OF MR. JEFFERY HANNUSCH</t>
  </si>
  <si>
    <t>3737-GENTILLYBL</t>
  </si>
  <si>
    <t>38W401201</t>
  </si>
  <si>
    <t>EST. OF MS. AUDREY WILKERSON VALCOUR, ET AL</t>
  </si>
  <si>
    <t>5176-MARIGNYST</t>
  </si>
  <si>
    <t>38W406307</t>
  </si>
  <si>
    <t>EST. OF MRS. CAROLYN M. MORRIS</t>
  </si>
  <si>
    <t>2659-MEXICOST</t>
  </si>
  <si>
    <t>38W415812</t>
  </si>
  <si>
    <t>EST. OF MR. LELAND G. ROUSSELL</t>
  </si>
  <si>
    <t>2218-MADRIDST</t>
  </si>
  <si>
    <t>38W419507</t>
  </si>
  <si>
    <t>EST. OF MR. &amp; MRS. VINCENT J. LOPEZ</t>
  </si>
  <si>
    <t>4708-ODINST</t>
  </si>
  <si>
    <t>39W025224</t>
  </si>
  <si>
    <t>EST. OF MRS. DORIS B. SULLIVAN</t>
  </si>
  <si>
    <t>9890-EWHEATONCR</t>
  </si>
  <si>
    <t>39W044155</t>
  </si>
  <si>
    <t>EST. OF MR. LEOTHA H. NELSON, C/O MS. E. B. PRESTON</t>
  </si>
  <si>
    <t>6800-RUGBYCT</t>
  </si>
  <si>
    <t>39W046019</t>
  </si>
  <si>
    <t>DR. &amp; MRS. JOHN A. HARPER</t>
  </si>
  <si>
    <t>5930-WINCHESTERPARKDR</t>
  </si>
  <si>
    <t>39W048017</t>
  </si>
  <si>
    <t>EST. OF MRS. GENEVIEVE GARNETT, ET AL</t>
  </si>
  <si>
    <t>7812-BRIARWOODDR</t>
  </si>
  <si>
    <t>39W073410</t>
  </si>
  <si>
    <t>EST. OF MISS DEBRA SHORTY, ET AL</t>
  </si>
  <si>
    <t>5134-WENTWORTHDR</t>
  </si>
  <si>
    <t>39W074206</t>
  </si>
  <si>
    <t>EST. OF MS. FLOY R. BATISTE, ET AL</t>
  </si>
  <si>
    <t>7112-WTAMARONBL</t>
  </si>
  <si>
    <t>39W075615</t>
  </si>
  <si>
    <t>EST. OF MS. NELL J. DUNLAP</t>
  </si>
  <si>
    <t>1001-JOURDANAV</t>
  </si>
  <si>
    <t>39W205501</t>
  </si>
  <si>
    <t>EST. OF MS. CAROLYN S. PARKER,  C/O MS. KYRAH JULIAN, ET AL</t>
  </si>
  <si>
    <t>EST. OF MRS. JEAN A. LOUIS &amp; EST. OF MS. HAZEL L. BERRYHILL</t>
  </si>
  <si>
    <t>1415-DELERYST</t>
  </si>
  <si>
    <t>39W212204</t>
  </si>
  <si>
    <t>EST. OF MS. BETTY J. KNIGHT</t>
  </si>
  <si>
    <t>1219-PAULINEST</t>
  </si>
  <si>
    <t>39W302718</t>
  </si>
  <si>
    <t>EST. OF MS. CHERYL ANN COLLINS</t>
  </si>
  <si>
    <t>1746-INDEPENDENCEST</t>
  </si>
  <si>
    <t>39W408509</t>
  </si>
  <si>
    <t>EST. OF MS. SANDRA J. RICHARDSON</t>
  </si>
  <si>
    <t>4875-SHERWOODDR</t>
  </si>
  <si>
    <t>39W957520</t>
  </si>
  <si>
    <t>MR. &amp; MRS. LINCOLN ANDERSON</t>
  </si>
  <si>
    <t>OLD NET ASMT</t>
  </si>
  <si>
    <t>OLD EXEMPT</t>
  </si>
  <si>
    <t>NEW EXEMPT</t>
  </si>
  <si>
    <t>NEW NETASMT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</si>
</sst>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&quot;AS OF &quot;mmmm\ d\,\ yyyy"/>
  </numFmts>
  <fonts count="17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Dialog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2"/>
      <color rgb="FF000000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name val="Dialog"/>
    </font>
    <font>
      <sz val="11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Dialog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7" fillId="0" borderId="1" xfId="0" applyFont="1" applyBorder="1"/>
    <xf numFmtId="0" fontId="8" fillId="0" borderId="2" xfId="0" applyFont="1" applyBorder="1"/>
    <xf numFmtId="3" fontId="7" fillId="0" borderId="1" xfId="0" applyNumberFormat="1" applyFont="1" applyBorder="1"/>
    <xf numFmtId="0" fontId="8" fillId="0" borderId="3" xfId="0" applyFont="1" applyBorder="1"/>
    <xf numFmtId="0" fontId="5" fillId="0" borderId="1" xfId="0" applyFont="1" applyBorder="1"/>
    <xf numFmtId="3" fontId="8" fillId="0" borderId="1" xfId="0" applyNumberFormat="1" applyFont="1" applyBorder="1"/>
    <xf numFmtId="0" fontId="10" fillId="0" borderId="4" xfId="0" applyFont="1" applyBorder="1"/>
    <xf numFmtId="3" fontId="10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right"/>
    </xf>
    <xf numFmtId="0" fontId="14" fillId="0" borderId="0" xfId="0" applyFont="1"/>
    <xf numFmtId="3" fontId="5" fillId="0" borderId="6" xfId="0" applyNumberFormat="1" applyFont="1" applyBorder="1"/>
    <xf numFmtId="3" fontId="7" fillId="0" borderId="6" xfId="0" applyNumberFormat="1" applyFont="1" applyBorder="1"/>
    <xf numFmtId="0" fontId="7" fillId="0" borderId="9" xfId="0" applyFont="1" applyBorder="1"/>
    <xf numFmtId="38" fontId="9" fillId="0" borderId="1" xfId="0" applyNumberFormat="1" applyFont="1" applyBorder="1"/>
    <xf numFmtId="38" fontId="15" fillId="0" borderId="1" xfId="0" applyNumberFormat="1" applyFont="1" applyBorder="1"/>
    <xf numFmtId="0" fontId="7" fillId="0" borderId="0" xfId="0" applyFont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64" fontId="0" fillId="0" borderId="0" xfId="1" applyNumberFormat="1" applyFont="1"/>
    <xf numFmtId="164" fontId="2" fillId="0" borderId="0" xfId="1" applyNumberFormat="1" applyFont="1" applyAlignment="1">
      <alignment horizontal="right"/>
    </xf>
    <xf numFmtId="164" fontId="12" fillId="0" borderId="0" xfId="1" applyNumberFormat="1" applyFont="1" applyAlignment="1">
      <alignment horizontal="right"/>
    </xf>
    <xf numFmtId="164" fontId="12" fillId="2" borderId="0" xfId="1" applyNumberFormat="1" applyFont="1" applyFill="1" applyAlignment="1">
      <alignment horizontal="right"/>
    </xf>
    <xf numFmtId="164" fontId="11" fillId="2" borderId="5" xfId="1" applyNumberFormat="1" applyFont="1" applyFill="1" applyBorder="1"/>
    <xf numFmtId="164" fontId="2" fillId="2" borderId="0" xfId="1" applyNumberFormat="1" applyFont="1" applyFill="1" applyAlignment="1">
      <alignment horizontal="right"/>
    </xf>
    <xf numFmtId="164" fontId="0" fillId="2" borderId="0" xfId="1" applyNumberFormat="1" applyFont="1" applyFill="1"/>
    <xf numFmtId="164" fontId="3" fillId="2" borderId="0" xfId="1" applyNumberFormat="1" applyFont="1" applyFill="1"/>
    <xf numFmtId="164" fontId="11" fillId="0" borderId="5" xfId="1" applyNumberFormat="1" applyFont="1" applyBorder="1"/>
    <xf numFmtId="164" fontId="3" fillId="0" borderId="0" xfId="1" applyNumberFormat="1" applyFont="1"/>
    <xf numFmtId="164" fontId="11" fillId="0" borderId="0" xfId="1" applyNumberFormat="1" applyFont="1"/>
    <xf numFmtId="164" fontId="11" fillId="2" borderId="0" xfId="1" applyNumberFormat="1" applyFont="1" applyFill="1"/>
    <xf numFmtId="0" fontId="0" fillId="0" borderId="0" xfId="0" applyAlignment="1">
      <alignment wrapText="1"/>
    </xf>
    <xf numFmtId="164" fontId="11" fillId="0" borderId="0" xfId="0" applyNumberFormat="1" applyFont="1"/>
    <xf numFmtId="14" fontId="0" fillId="0" borderId="0" xfId="0" applyNumberFormat="1"/>
    <xf numFmtId="14" fontId="11" fillId="0" borderId="0" xfId="0" applyNumberFormat="1" applyFont="1"/>
    <xf numFmtId="3" fontId="0" fillId="0" borderId="0" xfId="0" applyNumberFormat="1"/>
    <xf numFmtId="3" fontId="11" fillId="0" borderId="0" xfId="0" applyNumberFormat="1" applyFont="1"/>
    <xf numFmtId="3" fontId="2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164" fontId="11" fillId="2" borderId="0" xfId="1" applyNumberFormat="1" applyFont="1" applyFill="1" applyBorder="1"/>
    <xf numFmtId="0" fontId="3" fillId="3" borderId="0" xfId="0" applyFont="1" applyFill="1"/>
    <xf numFmtId="0" fontId="16" fillId="3" borderId="0" xfId="0" applyFont="1" applyFill="1" applyAlignment="1">
      <alignment horizontal="right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7" fontId="14" fillId="0" borderId="0" xfId="0" applyNumberFormat="1" applyFont="1" applyAlignment="1">
      <alignment horizontal="left"/>
    </xf>
  </cellXfs>
  <cellStyles count="4">
    <cellStyle name="Comma" xfId="1" builtinId="3"/>
    <cellStyle name="Comma 2" xfId="3" xr:uid="{E192906C-D10B-4E54-A2B4-17C85561E031}"/>
    <cellStyle name="Normal" xfId="0" builtinId="0"/>
    <cellStyle name="Normal 2" xfId="2" xr:uid="{553BAE6B-F015-450E-B61D-B079F47C203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9E3F-27DB-4313-83CF-987260E04294}">
  <dimension ref="A1:G18"/>
  <sheetViews>
    <sheetView tabSelected="1" workbookViewId="0">
      <selection activeCell="E22" sqref="E22"/>
    </sheetView>
  </sheetViews>
  <sheetFormatPr defaultRowHeight="15"/>
  <cols>
    <col min="1" max="1" width="40.28515625" customWidth="1"/>
    <col min="2" max="2" width="17.28515625" customWidth="1"/>
    <col min="3" max="3" width="20.5703125" customWidth="1"/>
    <col min="4" max="4" width="17.85546875" customWidth="1"/>
    <col min="5" max="5" width="23.42578125" customWidth="1"/>
    <col min="6" max="6" width="20.42578125" customWidth="1"/>
  </cols>
  <sheetData>
    <row r="1" spans="1:7" ht="18.75">
      <c r="A1" s="14" t="s">
        <v>28</v>
      </c>
    </row>
    <row r="2" spans="1:7" ht="18.75">
      <c r="A2" s="14" t="s">
        <v>29</v>
      </c>
    </row>
    <row r="3" spans="1:7" ht="18.75">
      <c r="A3" s="14" t="str">
        <f ca="1">"CALENDAR YEAR " &amp; YEAR(TODAY()) &amp; " - QUARTER 2"</f>
        <v>CALENDAR YEAR 2026 - QUARTER 2</v>
      </c>
    </row>
    <row r="4" spans="1:7" ht="18.75">
      <c r="A4" s="14" t="str">
        <f ca="1">"TAX YEARS " &amp; (YEAR(TODAY()) - 3) &amp; " TO " &amp; YEAR(TODAY())</f>
        <v>TAX YEARS 2023 TO 2026</v>
      </c>
    </row>
    <row r="5" spans="1:7" ht="18.75">
      <c r="A5" s="50" t="str">
        <f ca="1">"AS OF " &amp; UPPER(TEXT(TODAY(), "mmmm d, yyyy"))</f>
        <v>AS OF AUGUST 19, 2026</v>
      </c>
    </row>
    <row r="6" spans="1:7" ht="15.75" thickBot="1">
      <c r="A6" s="2"/>
      <c r="B6" s="2"/>
      <c r="C6" s="2"/>
      <c r="D6" s="2"/>
      <c r="E6" s="2"/>
      <c r="F6" s="2"/>
      <c r="G6" s="2"/>
    </row>
    <row r="7" spans="1:7" ht="18.75">
      <c r="A7" s="3"/>
      <c r="B7" s="47" t="s">
        <v>19</v>
      </c>
      <c r="C7" s="48"/>
      <c r="D7" s="48"/>
      <c r="E7" s="49"/>
      <c r="F7" s="17"/>
      <c r="G7" s="2"/>
    </row>
    <row r="8" spans="1:7" ht="19.5" thickBot="1">
      <c r="A8" s="3"/>
      <c r="B8" s="21">
        <f ca="1">YEAR(TODAY())</f>
        <v>2026</v>
      </c>
      <c r="C8" s="22">
        <f ca="1">YEAR(TODAY()) - 1</f>
        <v>2025</v>
      </c>
      <c r="D8" s="22">
        <f ca="1">YEAR(TODAY()) - 2</f>
        <v>2024</v>
      </c>
      <c r="E8" s="22">
        <f ca="1">YEAR(TODAY()) - 3</f>
        <v>2023</v>
      </c>
      <c r="F8" s="23" t="s">
        <v>20</v>
      </c>
      <c r="G8" s="2"/>
    </row>
    <row r="9" spans="1:7" ht="28.15" customHeight="1">
      <c r="A9" s="5" t="s">
        <v>21</v>
      </c>
      <c r="B9" s="15">
        <f>'REAL PROPERTY DETAILS'!U160</f>
        <v>1037140</v>
      </c>
      <c r="C9" s="15">
        <f>'REAL PROPERTY DETAILS'!U72</f>
        <v>383830</v>
      </c>
      <c r="D9" s="15">
        <f>'REAL PROPERTY DETAILS'!U38</f>
        <v>466690</v>
      </c>
      <c r="E9" s="15">
        <f>'REAL PROPERTY DETAILS'!U16</f>
        <v>125100</v>
      </c>
      <c r="F9" s="16">
        <f>SUM(B9:E9)</f>
        <v>2012760</v>
      </c>
      <c r="G9" s="2"/>
    </row>
    <row r="10" spans="1:7" ht="28.15" customHeight="1">
      <c r="A10" s="7" t="s">
        <v>22</v>
      </c>
      <c r="B10" s="8">
        <f>'PP DETAILS'!J12</f>
        <v>31940</v>
      </c>
      <c r="C10" s="8">
        <f>'PP DETAILS'!J9</f>
        <v>26620</v>
      </c>
      <c r="D10" s="8">
        <f>'PP DETAILS'!J6</f>
        <v>0</v>
      </c>
      <c r="E10" s="8">
        <f>'PP DETAILS'!J3</f>
        <v>0</v>
      </c>
      <c r="F10" s="4">
        <f>SUM(B10:E10)</f>
        <v>58560</v>
      </c>
      <c r="G10" s="2"/>
    </row>
    <row r="11" spans="1:7" ht="28.15" customHeight="1">
      <c r="A11" s="7" t="s">
        <v>23</v>
      </c>
      <c r="B11" s="8">
        <v>0</v>
      </c>
      <c r="C11" s="8">
        <v>0</v>
      </c>
      <c r="D11" s="8">
        <v>0</v>
      </c>
      <c r="E11" s="8">
        <v>0</v>
      </c>
      <c r="F11" s="4">
        <v>0</v>
      </c>
      <c r="G11" s="2"/>
    </row>
    <row r="12" spans="1:7" ht="28.15" customHeight="1">
      <c r="A12" s="7" t="s">
        <v>24</v>
      </c>
      <c r="B12" s="9">
        <f>SUM(B9:B11)</f>
        <v>1069080</v>
      </c>
      <c r="C12" s="9">
        <f t="shared" ref="C12:E12" si="0">SUM(C9:C11)</f>
        <v>410450</v>
      </c>
      <c r="D12" s="9">
        <f t="shared" si="0"/>
        <v>466690</v>
      </c>
      <c r="E12" s="9">
        <f t="shared" si="0"/>
        <v>125100</v>
      </c>
      <c r="F12" s="9">
        <f>SUM(B12:E12)</f>
        <v>2071320</v>
      </c>
      <c r="G12" s="2"/>
    </row>
    <row r="13" spans="1:7" s="12" customFormat="1" ht="28.15" customHeight="1">
      <c r="A13" s="7" t="s">
        <v>25</v>
      </c>
      <c r="B13" s="19">
        <f>'REAL PROPERTY DETAILS'!V160</f>
        <v>-485820</v>
      </c>
      <c r="C13" s="19">
        <f>'REAL PROPERTY DETAILS'!V72</f>
        <v>-172390</v>
      </c>
      <c r="D13" s="19">
        <f>'REAL PROPERTY DETAILS'!V38</f>
        <v>-78510</v>
      </c>
      <c r="E13" s="19">
        <f>'REAL PROPERTY DETAILS'!V16</f>
        <v>-62420</v>
      </c>
      <c r="F13" s="18">
        <f>SUM(B13:E13)</f>
        <v>-799140</v>
      </c>
      <c r="G13" s="20"/>
    </row>
    <row r="14" spans="1:7" ht="28.15" customHeight="1" thickBot="1">
      <c r="A14" s="10" t="s">
        <v>26</v>
      </c>
      <c r="B14" s="11">
        <f>SUM(B12,ABS(B13))</f>
        <v>1554900</v>
      </c>
      <c r="C14" s="11">
        <f>SUM(C12,ABS(C13))</f>
        <v>582840</v>
      </c>
      <c r="D14" s="11">
        <f>SUM(D12,ABS(D13))</f>
        <v>545200</v>
      </c>
      <c r="E14" s="11">
        <f>SUM(E12,ABS(E13))</f>
        <v>187520</v>
      </c>
      <c r="F14" s="6">
        <f>SUM(B14:E14)</f>
        <v>2870460</v>
      </c>
      <c r="G14" s="2"/>
    </row>
    <row r="18" spans="2:2">
      <c r="B18" s="40"/>
    </row>
  </sheetData>
  <mergeCells count="1">
    <mergeCell ref="B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63"/>
  <sheetViews>
    <sheetView zoomScale="98" zoomScaleNormal="98" workbookViewId="0">
      <pane ySplit="1" topLeftCell="A2" activePane="bottomLeft" state="frozen"/>
      <selection pane="bottomLeft" activeCell="I16" sqref="I16"/>
    </sheetView>
  </sheetViews>
  <sheetFormatPr defaultRowHeight="15"/>
  <cols>
    <col min="1" max="1" width="22.5703125" bestFit="1" customWidth="1"/>
    <col min="2" max="2" width="10.7109375" bestFit="1" customWidth="1"/>
    <col min="3" max="3" width="6.42578125" bestFit="1" customWidth="1"/>
    <col min="4" max="4" width="56.28515625" bestFit="1" customWidth="1"/>
    <col min="5" max="5" width="9.42578125" bestFit="1" customWidth="1"/>
    <col min="6" max="6" width="4.28515625" bestFit="1" customWidth="1"/>
    <col min="7" max="7" width="10.28515625" bestFit="1" customWidth="1"/>
    <col min="8" max="8" width="10.85546875" bestFit="1" customWidth="1"/>
    <col min="9" max="9" width="12.42578125" style="24" bestFit="1" customWidth="1"/>
    <col min="10" max="10" width="14.140625" style="24" bestFit="1" customWidth="1"/>
    <col min="11" max="11" width="16.7109375" style="24" bestFit="1" customWidth="1"/>
    <col min="12" max="13" width="16.7109375" style="24" customWidth="1"/>
    <col min="14" max="14" width="16.5703125" style="24" bestFit="1" customWidth="1"/>
    <col min="15" max="15" width="14.140625" style="24" bestFit="1" customWidth="1"/>
    <col min="16" max="16" width="15.28515625" style="24" bestFit="1" customWidth="1"/>
    <col min="17" max="17" width="17.5703125" style="24" bestFit="1" customWidth="1"/>
    <col min="18" max="19" width="17.5703125" style="24" customWidth="1"/>
    <col min="20" max="21" width="17.140625" style="24" bestFit="1" customWidth="1"/>
    <col min="22" max="22" width="16.7109375" style="24" bestFit="1" customWidth="1"/>
    <col min="23" max="23" width="8.85546875" style="24"/>
    <col min="24" max="24" width="10.57031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4" t="s">
        <v>8</v>
      </c>
      <c r="J1" s="24" t="s">
        <v>9</v>
      </c>
      <c r="K1" s="24" t="s">
        <v>10</v>
      </c>
      <c r="L1" s="24" t="s">
        <v>334</v>
      </c>
      <c r="M1" s="24" t="s">
        <v>333</v>
      </c>
      <c r="N1" s="24" t="s">
        <v>11</v>
      </c>
      <c r="O1" s="24" t="s">
        <v>12</v>
      </c>
      <c r="P1" s="24" t="s">
        <v>13</v>
      </c>
      <c r="Q1" s="24" t="s">
        <v>14</v>
      </c>
      <c r="R1" s="24" t="s">
        <v>335</v>
      </c>
      <c r="S1" s="24" t="s">
        <v>336</v>
      </c>
      <c r="T1" s="24" t="s">
        <v>15</v>
      </c>
      <c r="U1" s="24" t="s">
        <v>16</v>
      </c>
      <c r="V1" s="24" t="s">
        <v>17</v>
      </c>
    </row>
    <row r="2" spans="1:24">
      <c r="A2" t="s">
        <v>52</v>
      </c>
      <c r="B2" t="s">
        <v>53</v>
      </c>
      <c r="C2" s="1">
        <v>2023</v>
      </c>
      <c r="D2" t="s">
        <v>54</v>
      </c>
      <c r="E2" t="s">
        <v>18</v>
      </c>
      <c r="I2" s="1">
        <v>0</v>
      </c>
      <c r="J2" s="1">
        <v>0</v>
      </c>
      <c r="K2" s="1">
        <v>0</v>
      </c>
      <c r="L2" s="1"/>
      <c r="M2" s="1"/>
      <c r="N2" s="1">
        <v>0</v>
      </c>
      <c r="O2" s="1">
        <v>14940</v>
      </c>
      <c r="P2" s="1">
        <v>0</v>
      </c>
      <c r="Q2" s="1">
        <v>14940</v>
      </c>
      <c r="R2" s="1"/>
      <c r="S2" s="1"/>
      <c r="T2" s="1">
        <v>0</v>
      </c>
      <c r="U2" s="1">
        <v>14940</v>
      </c>
      <c r="V2" s="1">
        <v>0</v>
      </c>
      <c r="W2"/>
    </row>
    <row r="3" spans="1:24">
      <c r="A3" t="s">
        <v>55</v>
      </c>
      <c r="B3" t="s">
        <v>56</v>
      </c>
      <c r="C3" s="1">
        <v>2023</v>
      </c>
      <c r="D3" t="s">
        <v>57</v>
      </c>
      <c r="E3" t="s">
        <v>18</v>
      </c>
      <c r="F3" t="s">
        <v>40</v>
      </c>
      <c r="I3" s="1">
        <v>1630</v>
      </c>
      <c r="J3" s="1">
        <v>3750</v>
      </c>
      <c r="K3" s="1">
        <v>5380</v>
      </c>
      <c r="L3" s="1"/>
      <c r="M3" s="1"/>
      <c r="N3" s="1">
        <v>5380</v>
      </c>
      <c r="O3" s="1">
        <v>6120</v>
      </c>
      <c r="P3" s="1">
        <v>26890</v>
      </c>
      <c r="Q3" s="1">
        <v>33010</v>
      </c>
      <c r="R3" s="1"/>
      <c r="S3" s="1"/>
      <c r="T3" s="1">
        <v>0</v>
      </c>
      <c r="U3" s="1">
        <v>27630</v>
      </c>
      <c r="V3" s="1">
        <v>-5380</v>
      </c>
      <c r="W3"/>
    </row>
    <row r="4" spans="1:24">
      <c r="A4" t="s">
        <v>58</v>
      </c>
      <c r="B4" t="s">
        <v>59</v>
      </c>
      <c r="C4" s="1">
        <v>2023</v>
      </c>
      <c r="D4" t="s">
        <v>60</v>
      </c>
      <c r="E4" t="s">
        <v>18</v>
      </c>
      <c r="F4" t="s">
        <v>40</v>
      </c>
      <c r="I4" s="1">
        <v>3130</v>
      </c>
      <c r="J4" s="1">
        <v>20710</v>
      </c>
      <c r="K4" s="1">
        <v>23840</v>
      </c>
      <c r="L4" s="1"/>
      <c r="M4" s="1"/>
      <c r="N4" s="1">
        <v>7500</v>
      </c>
      <c r="O4" s="1">
        <v>4690</v>
      </c>
      <c r="P4" s="1">
        <v>22140</v>
      </c>
      <c r="Q4" s="1">
        <v>26830</v>
      </c>
      <c r="R4" s="1"/>
      <c r="S4" s="1"/>
      <c r="T4" s="1">
        <v>0</v>
      </c>
      <c r="U4" s="1">
        <v>2990</v>
      </c>
      <c r="V4" s="1">
        <v>-7500</v>
      </c>
      <c r="W4"/>
    </row>
    <row r="5" spans="1:24">
      <c r="A5" t="s">
        <v>41</v>
      </c>
      <c r="B5" t="s">
        <v>42</v>
      </c>
      <c r="C5" s="1">
        <v>2023</v>
      </c>
      <c r="D5" t="s">
        <v>43</v>
      </c>
      <c r="E5" t="s">
        <v>18</v>
      </c>
      <c r="F5" t="s">
        <v>40</v>
      </c>
      <c r="I5" s="1">
        <v>1210</v>
      </c>
      <c r="J5" s="1">
        <v>1810</v>
      </c>
      <c r="K5" s="1">
        <v>3020</v>
      </c>
      <c r="L5" s="1"/>
      <c r="M5" s="1"/>
      <c r="N5" s="1">
        <v>3020</v>
      </c>
      <c r="O5" s="1">
        <v>1680</v>
      </c>
      <c r="P5" s="1">
        <v>13900</v>
      </c>
      <c r="Q5" s="1">
        <v>15580</v>
      </c>
      <c r="R5" s="1"/>
      <c r="S5" s="1"/>
      <c r="T5" s="1">
        <v>0</v>
      </c>
      <c r="U5" s="1">
        <v>12560</v>
      </c>
      <c r="V5" s="1">
        <v>-3020</v>
      </c>
      <c r="W5"/>
    </row>
    <row r="6" spans="1:24">
      <c r="A6" t="s">
        <v>61</v>
      </c>
      <c r="B6" t="s">
        <v>62</v>
      </c>
      <c r="C6" s="1">
        <v>2023</v>
      </c>
      <c r="D6" t="s">
        <v>63</v>
      </c>
      <c r="E6" t="s">
        <v>18</v>
      </c>
      <c r="F6" t="s">
        <v>39</v>
      </c>
      <c r="I6" s="1">
        <v>2300</v>
      </c>
      <c r="J6" s="1">
        <v>9350</v>
      </c>
      <c r="K6" s="1">
        <v>11650</v>
      </c>
      <c r="L6" s="1"/>
      <c r="M6" s="1"/>
      <c r="N6" s="1">
        <v>7500</v>
      </c>
      <c r="O6" s="1">
        <v>2300</v>
      </c>
      <c r="P6" s="1">
        <v>11300</v>
      </c>
      <c r="Q6" s="1">
        <v>13600</v>
      </c>
      <c r="R6" s="1"/>
      <c r="S6" s="1"/>
      <c r="T6" s="1">
        <v>0</v>
      </c>
      <c r="U6" s="1">
        <v>1950</v>
      </c>
      <c r="V6" s="1">
        <v>-7500</v>
      </c>
      <c r="W6"/>
    </row>
    <row r="7" spans="1:24">
      <c r="A7" t="s">
        <v>64</v>
      </c>
      <c r="B7" t="s">
        <v>65</v>
      </c>
      <c r="C7" s="1">
        <v>2023</v>
      </c>
      <c r="D7" t="s">
        <v>66</v>
      </c>
      <c r="E7" t="s">
        <v>18</v>
      </c>
      <c r="F7" t="s">
        <v>39</v>
      </c>
      <c r="I7" s="1">
        <v>4050</v>
      </c>
      <c r="J7" s="1">
        <v>10950</v>
      </c>
      <c r="K7" s="1">
        <v>15000</v>
      </c>
      <c r="L7" s="1"/>
      <c r="M7" s="1"/>
      <c r="N7" s="1">
        <v>7500</v>
      </c>
      <c r="O7" s="1">
        <v>6100</v>
      </c>
      <c r="P7" s="1">
        <v>17400</v>
      </c>
      <c r="Q7" s="1">
        <v>23500</v>
      </c>
      <c r="R7" s="1"/>
      <c r="S7" s="1"/>
      <c r="T7" s="1">
        <v>3750</v>
      </c>
      <c r="U7" s="1">
        <v>8500</v>
      </c>
      <c r="V7" s="1">
        <v>-3750</v>
      </c>
      <c r="W7"/>
    </row>
    <row r="8" spans="1:24">
      <c r="A8" t="s">
        <v>67</v>
      </c>
      <c r="B8" t="s">
        <v>68</v>
      </c>
      <c r="C8" s="1">
        <v>2023</v>
      </c>
      <c r="D8" t="s">
        <v>69</v>
      </c>
      <c r="E8" t="s">
        <v>18</v>
      </c>
      <c r="F8" t="s">
        <v>40</v>
      </c>
      <c r="I8" s="1">
        <v>440</v>
      </c>
      <c r="J8" s="1">
        <v>2230</v>
      </c>
      <c r="K8" s="1">
        <v>2670</v>
      </c>
      <c r="L8" s="1"/>
      <c r="M8" s="1"/>
      <c r="N8" s="1">
        <v>2670</v>
      </c>
      <c r="O8" s="1">
        <v>2200</v>
      </c>
      <c r="P8" s="1">
        <v>6510</v>
      </c>
      <c r="Q8" s="1">
        <v>8710</v>
      </c>
      <c r="R8" s="1"/>
      <c r="S8" s="1"/>
      <c r="T8" s="1">
        <v>0</v>
      </c>
      <c r="U8" s="1">
        <v>6040</v>
      </c>
      <c r="V8" s="1">
        <v>-2670</v>
      </c>
      <c r="W8"/>
    </row>
    <row r="9" spans="1:24">
      <c r="A9" t="s">
        <v>70</v>
      </c>
      <c r="B9" t="s">
        <v>71</v>
      </c>
      <c r="C9" s="1">
        <v>2023</v>
      </c>
      <c r="D9" t="s">
        <v>72</v>
      </c>
      <c r="E9" t="s">
        <v>18</v>
      </c>
      <c r="F9" t="s">
        <v>40</v>
      </c>
      <c r="I9" s="1">
        <v>2200</v>
      </c>
      <c r="J9" s="1">
        <v>8300</v>
      </c>
      <c r="K9" s="1">
        <v>10500</v>
      </c>
      <c r="L9" s="1"/>
      <c r="M9" s="1"/>
      <c r="N9" s="1">
        <v>7500</v>
      </c>
      <c r="O9" s="1">
        <v>3670</v>
      </c>
      <c r="P9" s="1">
        <v>13410</v>
      </c>
      <c r="Q9" s="1">
        <v>17080</v>
      </c>
      <c r="R9" s="1"/>
      <c r="S9" s="1"/>
      <c r="T9" s="1">
        <v>7500</v>
      </c>
      <c r="U9" s="1">
        <v>6580</v>
      </c>
      <c r="V9" s="1">
        <v>0</v>
      </c>
      <c r="W9"/>
    </row>
    <row r="10" spans="1:24">
      <c r="A10" t="s">
        <v>73</v>
      </c>
      <c r="B10" t="s">
        <v>74</v>
      </c>
      <c r="C10" s="1">
        <v>2023</v>
      </c>
      <c r="D10" t="s">
        <v>75</v>
      </c>
      <c r="E10" t="s">
        <v>18</v>
      </c>
      <c r="F10" t="s">
        <v>40</v>
      </c>
      <c r="I10" s="1">
        <v>2520</v>
      </c>
      <c r="J10" s="1">
        <v>11080</v>
      </c>
      <c r="K10" s="1">
        <v>13600</v>
      </c>
      <c r="L10" s="1"/>
      <c r="M10" s="1"/>
      <c r="N10" s="1">
        <v>7500</v>
      </c>
      <c r="O10" s="1">
        <v>1680</v>
      </c>
      <c r="P10" s="1">
        <v>13670</v>
      </c>
      <c r="Q10" s="1">
        <v>15350</v>
      </c>
      <c r="R10" s="1"/>
      <c r="S10" s="1"/>
      <c r="T10" s="1">
        <v>0</v>
      </c>
      <c r="U10" s="1">
        <v>1750</v>
      </c>
      <c r="V10" s="1">
        <v>-7500</v>
      </c>
      <c r="W10"/>
    </row>
    <row r="11" spans="1:24">
      <c r="A11" t="s">
        <v>76</v>
      </c>
      <c r="B11" t="s">
        <v>77</v>
      </c>
      <c r="C11" s="1">
        <v>2023</v>
      </c>
      <c r="D11" t="s">
        <v>78</v>
      </c>
      <c r="E11" t="s">
        <v>18</v>
      </c>
      <c r="F11" t="s">
        <v>40</v>
      </c>
      <c r="I11" s="1">
        <v>630</v>
      </c>
      <c r="J11" s="1">
        <v>5870</v>
      </c>
      <c r="K11" s="1">
        <v>6500</v>
      </c>
      <c r="L11" s="1"/>
      <c r="M11" s="1"/>
      <c r="N11" s="1">
        <v>6500</v>
      </c>
      <c r="O11" s="1">
        <v>1440</v>
      </c>
      <c r="P11" s="1">
        <v>11210</v>
      </c>
      <c r="Q11" s="1">
        <v>12650</v>
      </c>
      <c r="R11" s="1"/>
      <c r="S11" s="1"/>
      <c r="T11" s="1">
        <v>0</v>
      </c>
      <c r="U11" s="1">
        <v>6150</v>
      </c>
      <c r="V11" s="1">
        <v>-6500</v>
      </c>
      <c r="W11"/>
    </row>
    <row r="12" spans="1:24">
      <c r="A12" t="s">
        <v>79</v>
      </c>
      <c r="B12" t="s">
        <v>80</v>
      </c>
      <c r="C12" s="1">
        <v>2023</v>
      </c>
      <c r="D12" t="s">
        <v>81</v>
      </c>
      <c r="E12" t="s">
        <v>18</v>
      </c>
      <c r="F12" t="s">
        <v>40</v>
      </c>
      <c r="I12" s="1">
        <v>1020</v>
      </c>
      <c r="J12" s="1">
        <v>5480</v>
      </c>
      <c r="K12" s="1">
        <v>6500</v>
      </c>
      <c r="L12" s="1"/>
      <c r="M12" s="1"/>
      <c r="N12" s="1">
        <v>6500</v>
      </c>
      <c r="O12" s="1">
        <v>1020</v>
      </c>
      <c r="P12" s="1">
        <v>10780</v>
      </c>
      <c r="Q12" s="1">
        <v>11800</v>
      </c>
      <c r="R12" s="1"/>
      <c r="S12" s="1"/>
      <c r="T12" s="1">
        <v>0</v>
      </c>
      <c r="U12" s="1">
        <v>5300</v>
      </c>
      <c r="V12" s="1">
        <v>-6500</v>
      </c>
      <c r="W12"/>
    </row>
    <row r="13" spans="1:24">
      <c r="A13" t="s">
        <v>82</v>
      </c>
      <c r="B13" t="s">
        <v>83</v>
      </c>
      <c r="C13" s="1">
        <v>2023</v>
      </c>
      <c r="D13" t="s">
        <v>84</v>
      </c>
      <c r="E13" t="s">
        <v>18</v>
      </c>
      <c r="F13" t="s">
        <v>39</v>
      </c>
      <c r="I13" s="1">
        <v>790</v>
      </c>
      <c r="J13" s="1">
        <v>7710</v>
      </c>
      <c r="K13" s="1">
        <v>8500</v>
      </c>
      <c r="L13" s="1"/>
      <c r="M13" s="1"/>
      <c r="N13" s="1">
        <v>7500</v>
      </c>
      <c r="O13" s="1">
        <v>790</v>
      </c>
      <c r="P13" s="1">
        <v>10750</v>
      </c>
      <c r="Q13" s="1">
        <v>11540</v>
      </c>
      <c r="R13" s="1"/>
      <c r="S13" s="1"/>
      <c r="T13" s="1">
        <v>0</v>
      </c>
      <c r="U13" s="1">
        <v>3040</v>
      </c>
      <c r="V13" s="1">
        <v>-7500</v>
      </c>
      <c r="W13"/>
    </row>
    <row r="14" spans="1:24">
      <c r="A14" t="s">
        <v>85</v>
      </c>
      <c r="B14" t="s">
        <v>86</v>
      </c>
      <c r="C14" s="1">
        <v>2023</v>
      </c>
      <c r="D14" t="s">
        <v>54</v>
      </c>
      <c r="E14" t="s">
        <v>18</v>
      </c>
      <c r="I14" s="1">
        <v>0</v>
      </c>
      <c r="J14" s="1">
        <v>0</v>
      </c>
      <c r="K14" s="1">
        <v>0</v>
      </c>
      <c r="L14" s="1"/>
      <c r="M14" s="1"/>
      <c r="N14" s="1">
        <v>0</v>
      </c>
      <c r="O14" s="1">
        <v>20290</v>
      </c>
      <c r="P14" s="1">
        <v>0</v>
      </c>
      <c r="Q14" s="1">
        <v>20290</v>
      </c>
      <c r="R14" s="1"/>
      <c r="S14" s="1"/>
      <c r="T14" s="1">
        <v>0</v>
      </c>
      <c r="U14" s="1">
        <v>20290</v>
      </c>
      <c r="V14" s="1">
        <v>0</v>
      </c>
      <c r="W14"/>
    </row>
    <row r="15" spans="1:24">
      <c r="A15" t="s">
        <v>87</v>
      </c>
      <c r="B15" t="s">
        <v>88</v>
      </c>
      <c r="C15" s="1">
        <v>2023</v>
      </c>
      <c r="D15" t="s">
        <v>89</v>
      </c>
      <c r="E15" t="s">
        <v>18</v>
      </c>
      <c r="F15" t="s">
        <v>40</v>
      </c>
      <c r="I15" s="1">
        <v>350</v>
      </c>
      <c r="J15" s="1">
        <v>4250</v>
      </c>
      <c r="K15" s="1">
        <v>4600</v>
      </c>
      <c r="L15" s="1"/>
      <c r="M15" s="1"/>
      <c r="N15" s="1">
        <v>4600</v>
      </c>
      <c r="O15" s="1">
        <v>1510</v>
      </c>
      <c r="P15" s="1">
        <v>10470</v>
      </c>
      <c r="Q15" s="1">
        <v>11980</v>
      </c>
      <c r="R15" s="1"/>
      <c r="S15" s="1"/>
      <c r="T15" s="1">
        <v>0</v>
      </c>
      <c r="U15" s="1">
        <v>7380</v>
      </c>
      <c r="V15" s="1">
        <v>-4600</v>
      </c>
      <c r="W15"/>
    </row>
    <row r="16" spans="1:24" s="12" customFormat="1">
      <c r="A16" s="12" t="s">
        <v>20</v>
      </c>
      <c r="C16" s="13"/>
      <c r="I16" s="26">
        <f t="shared" ref="I16:V16" si="0">SUM(I2:I15)</f>
        <v>20270</v>
      </c>
      <c r="J16" s="26">
        <f t="shared" si="0"/>
        <v>91490</v>
      </c>
      <c r="K16" s="26">
        <f t="shared" si="0"/>
        <v>111760</v>
      </c>
      <c r="L16" s="26"/>
      <c r="M16" s="26"/>
      <c r="N16" s="26">
        <f t="shared" si="0"/>
        <v>73670</v>
      </c>
      <c r="O16" s="26">
        <f t="shared" si="0"/>
        <v>68430</v>
      </c>
      <c r="P16" s="26">
        <f t="shared" si="0"/>
        <v>168430</v>
      </c>
      <c r="Q16" s="27">
        <f t="shared" si="0"/>
        <v>236860</v>
      </c>
      <c r="R16" s="27"/>
      <c r="S16" s="27"/>
      <c r="T16" s="27">
        <f t="shared" si="0"/>
        <v>11250</v>
      </c>
      <c r="U16" s="27">
        <f t="shared" si="0"/>
        <v>125100</v>
      </c>
      <c r="V16" s="27">
        <f t="shared" si="0"/>
        <v>-62420</v>
      </c>
      <c r="W16" s="28" t="s">
        <v>20</v>
      </c>
      <c r="X16" s="37">
        <f>U16-V16</f>
        <v>187520</v>
      </c>
    </row>
    <row r="17" spans="1:23">
      <c r="C17" s="1"/>
      <c r="I17" s="25"/>
      <c r="J17" s="25"/>
      <c r="K17" s="25"/>
      <c r="L17" s="25"/>
      <c r="M17" s="25"/>
      <c r="N17" s="25"/>
      <c r="O17" s="25"/>
      <c r="P17" s="25"/>
      <c r="Q17" s="29"/>
      <c r="R17" s="29"/>
      <c r="S17" s="29"/>
      <c r="T17" s="30"/>
      <c r="U17" s="29"/>
      <c r="V17" s="29"/>
      <c r="W17" s="31"/>
    </row>
    <row r="18" spans="1:23">
      <c r="C18" s="1"/>
      <c r="I18" s="25"/>
      <c r="J18" s="25"/>
      <c r="K18" s="25"/>
      <c r="L18" s="25"/>
      <c r="M18" s="25"/>
      <c r="N18" s="25"/>
      <c r="O18" s="25"/>
      <c r="P18" s="25"/>
      <c r="Q18" s="29"/>
      <c r="R18" s="29"/>
      <c r="S18" s="29"/>
      <c r="T18" s="29"/>
      <c r="U18" s="29"/>
      <c r="V18" s="29"/>
      <c r="W18" s="30"/>
    </row>
    <row r="19" spans="1:23">
      <c r="A19" t="s">
        <v>55</v>
      </c>
      <c r="B19" t="s">
        <v>56</v>
      </c>
      <c r="C19" s="1">
        <v>2024</v>
      </c>
      <c r="D19" t="s">
        <v>57</v>
      </c>
      <c r="E19" t="s">
        <v>18</v>
      </c>
      <c r="F19" t="s">
        <v>40</v>
      </c>
      <c r="I19" s="1">
        <v>1630</v>
      </c>
      <c r="J19" s="1">
        <v>3750</v>
      </c>
      <c r="K19" s="1">
        <v>5380</v>
      </c>
      <c r="L19" s="1"/>
      <c r="M19" s="1"/>
      <c r="N19" s="1">
        <v>5380</v>
      </c>
      <c r="O19" s="1">
        <v>8160</v>
      </c>
      <c r="P19" s="1">
        <v>26800</v>
      </c>
      <c r="Q19" s="1">
        <v>34960</v>
      </c>
      <c r="R19" s="1"/>
      <c r="S19" s="1"/>
      <c r="T19" s="1">
        <v>0</v>
      </c>
      <c r="U19" s="1">
        <v>29580</v>
      </c>
      <c r="V19" s="1">
        <v>-5380</v>
      </c>
      <c r="W19"/>
    </row>
    <row r="20" spans="1:23">
      <c r="A20" t="s">
        <v>41</v>
      </c>
      <c r="B20" t="s">
        <v>42</v>
      </c>
      <c r="C20" s="1">
        <v>2024</v>
      </c>
      <c r="D20" t="s">
        <v>43</v>
      </c>
      <c r="E20" t="s">
        <v>18</v>
      </c>
      <c r="F20" t="s">
        <v>40</v>
      </c>
      <c r="I20" s="1">
        <v>1210</v>
      </c>
      <c r="J20" s="1">
        <v>1810</v>
      </c>
      <c r="K20" s="1">
        <v>3020</v>
      </c>
      <c r="L20" s="1"/>
      <c r="M20" s="1"/>
      <c r="N20" s="1">
        <v>3020</v>
      </c>
      <c r="O20" s="1">
        <v>4210</v>
      </c>
      <c r="P20" s="1">
        <v>12090</v>
      </c>
      <c r="Q20" s="1">
        <v>16300</v>
      </c>
      <c r="R20" s="1"/>
      <c r="S20" s="1"/>
      <c r="T20" s="1">
        <v>0</v>
      </c>
      <c r="U20" s="1">
        <v>13280</v>
      </c>
      <c r="V20" s="1">
        <v>-3020</v>
      </c>
      <c r="W20"/>
    </row>
    <row r="21" spans="1:23">
      <c r="A21" t="s">
        <v>90</v>
      </c>
      <c r="B21" t="s">
        <v>91</v>
      </c>
      <c r="C21" s="1">
        <v>2024</v>
      </c>
      <c r="D21" t="s">
        <v>92</v>
      </c>
      <c r="E21" t="s">
        <v>18</v>
      </c>
      <c r="F21" t="s">
        <v>40</v>
      </c>
      <c r="I21" s="1">
        <v>1130</v>
      </c>
      <c r="J21" s="1">
        <v>5970</v>
      </c>
      <c r="K21" s="1">
        <v>7100</v>
      </c>
      <c r="L21" s="1"/>
      <c r="M21" s="1"/>
      <c r="N21" s="1">
        <v>0</v>
      </c>
      <c r="O21" s="1">
        <v>2250</v>
      </c>
      <c r="P21" s="1">
        <v>7290</v>
      </c>
      <c r="Q21" s="1">
        <v>9540</v>
      </c>
      <c r="R21" s="1"/>
      <c r="S21" s="1"/>
      <c r="T21" s="1">
        <v>0</v>
      </c>
      <c r="U21" s="1">
        <v>2440</v>
      </c>
      <c r="V21" s="1">
        <v>0</v>
      </c>
      <c r="W21"/>
    </row>
    <row r="22" spans="1:23">
      <c r="A22" t="s">
        <v>58</v>
      </c>
      <c r="B22" t="s">
        <v>59</v>
      </c>
      <c r="C22" s="1">
        <v>2024</v>
      </c>
      <c r="D22" t="s">
        <v>60</v>
      </c>
      <c r="E22" t="s">
        <v>18</v>
      </c>
      <c r="F22" t="s">
        <v>40</v>
      </c>
      <c r="I22" s="1">
        <v>3130</v>
      </c>
      <c r="J22" s="1">
        <v>20710</v>
      </c>
      <c r="K22" s="1">
        <v>23840</v>
      </c>
      <c r="L22" s="1"/>
      <c r="M22" s="1"/>
      <c r="N22" s="1">
        <v>7500</v>
      </c>
      <c r="O22" s="1">
        <v>7820</v>
      </c>
      <c r="P22" s="1">
        <v>22750</v>
      </c>
      <c r="Q22" s="1">
        <v>30570</v>
      </c>
      <c r="R22" s="1"/>
      <c r="S22" s="1"/>
      <c r="T22" s="1">
        <v>0</v>
      </c>
      <c r="U22" s="1">
        <v>6730</v>
      </c>
      <c r="V22" s="1">
        <v>-7500</v>
      </c>
      <c r="W22"/>
    </row>
    <row r="23" spans="1:23" s="45" customFormat="1">
      <c r="A23" s="45" t="s">
        <v>93</v>
      </c>
      <c r="B23" s="45" t="s">
        <v>94</v>
      </c>
      <c r="C23" s="46">
        <v>2024</v>
      </c>
      <c r="D23" s="45" t="s">
        <v>95</v>
      </c>
      <c r="E23" s="45" t="s">
        <v>18</v>
      </c>
      <c r="F23" s="45" t="s">
        <v>96</v>
      </c>
      <c r="I23" s="46">
        <v>251960</v>
      </c>
      <c r="J23" s="46">
        <v>0</v>
      </c>
      <c r="K23" s="46">
        <v>251960</v>
      </c>
      <c r="L23" s="46">
        <v>251960</v>
      </c>
      <c r="M23" s="46">
        <f>K23-L23</f>
        <v>0</v>
      </c>
      <c r="N23" s="46">
        <v>0</v>
      </c>
      <c r="O23" s="46">
        <v>251960</v>
      </c>
      <c r="P23" s="46">
        <v>0</v>
      </c>
      <c r="Q23" s="46">
        <v>251960</v>
      </c>
      <c r="R23" s="46">
        <v>0</v>
      </c>
      <c r="S23" s="46">
        <f>Q23-R23</f>
        <v>251960</v>
      </c>
      <c r="T23" s="46">
        <v>0</v>
      </c>
      <c r="U23" s="46">
        <f>S23-M23</f>
        <v>251960</v>
      </c>
      <c r="V23" s="46">
        <v>0</v>
      </c>
    </row>
    <row r="24" spans="1:23">
      <c r="A24" t="s">
        <v>85</v>
      </c>
      <c r="B24" t="s">
        <v>86</v>
      </c>
      <c r="C24" s="1">
        <v>2024</v>
      </c>
      <c r="D24" t="s">
        <v>54</v>
      </c>
      <c r="E24" t="s">
        <v>18</v>
      </c>
      <c r="I24" s="1">
        <v>0</v>
      </c>
      <c r="J24" s="1">
        <v>0</v>
      </c>
      <c r="K24" s="1">
        <v>0</v>
      </c>
      <c r="L24" s="1"/>
      <c r="M24" s="1"/>
      <c r="N24" s="1">
        <v>0</v>
      </c>
      <c r="O24" s="1">
        <v>20290</v>
      </c>
      <c r="P24" s="1">
        <v>0</v>
      </c>
      <c r="Q24" s="1">
        <v>20290</v>
      </c>
      <c r="R24" s="1"/>
      <c r="S24" s="1"/>
      <c r="T24" s="1">
        <v>0</v>
      </c>
      <c r="U24" s="1">
        <v>20290</v>
      </c>
      <c r="V24" s="1">
        <v>0</v>
      </c>
      <c r="W24"/>
    </row>
    <row r="25" spans="1:23">
      <c r="A25" t="s">
        <v>52</v>
      </c>
      <c r="B25" t="s">
        <v>53</v>
      </c>
      <c r="C25" s="1">
        <v>2024</v>
      </c>
      <c r="D25" t="s">
        <v>54</v>
      </c>
      <c r="E25" t="s">
        <v>18</v>
      </c>
      <c r="I25" s="1">
        <v>0</v>
      </c>
      <c r="J25" s="1">
        <v>0</v>
      </c>
      <c r="K25" s="1">
        <v>0</v>
      </c>
      <c r="L25" s="1"/>
      <c r="M25" s="1"/>
      <c r="N25" s="1">
        <v>0</v>
      </c>
      <c r="O25" s="1">
        <v>14940</v>
      </c>
      <c r="P25" s="1">
        <v>0</v>
      </c>
      <c r="Q25" s="1">
        <v>14940</v>
      </c>
      <c r="R25" s="1"/>
      <c r="S25" s="1"/>
      <c r="T25" s="1">
        <v>0</v>
      </c>
      <c r="U25" s="1">
        <v>14940</v>
      </c>
      <c r="V25" s="1">
        <v>0</v>
      </c>
      <c r="W25"/>
    </row>
    <row r="26" spans="1:23">
      <c r="A26" t="s">
        <v>97</v>
      </c>
      <c r="B26" t="s">
        <v>98</v>
      </c>
      <c r="C26" s="1">
        <v>2024</v>
      </c>
      <c r="D26" t="s">
        <v>99</v>
      </c>
      <c r="E26" t="s">
        <v>18</v>
      </c>
      <c r="F26" t="s">
        <v>40</v>
      </c>
      <c r="I26" s="1">
        <v>970</v>
      </c>
      <c r="J26" s="1">
        <v>6710</v>
      </c>
      <c r="K26" s="1">
        <v>7680</v>
      </c>
      <c r="L26" s="1"/>
      <c r="M26" s="1"/>
      <c r="N26" s="1">
        <v>7500</v>
      </c>
      <c r="O26" s="1">
        <v>1920</v>
      </c>
      <c r="P26" s="1">
        <v>9890</v>
      </c>
      <c r="Q26" s="1">
        <v>11810</v>
      </c>
      <c r="R26" s="1"/>
      <c r="S26" s="1"/>
      <c r="T26" s="1">
        <v>0</v>
      </c>
      <c r="U26" s="1">
        <v>4130</v>
      </c>
      <c r="V26" s="1">
        <v>-7500</v>
      </c>
      <c r="W26"/>
    </row>
    <row r="27" spans="1:23">
      <c r="A27" t="s">
        <v>64</v>
      </c>
      <c r="B27" t="s">
        <v>65</v>
      </c>
      <c r="C27" s="1">
        <v>2024</v>
      </c>
      <c r="D27" t="s">
        <v>66</v>
      </c>
      <c r="E27" t="s">
        <v>18</v>
      </c>
      <c r="F27" t="s">
        <v>39</v>
      </c>
      <c r="I27" s="1">
        <v>4050</v>
      </c>
      <c r="J27" s="1">
        <v>10950</v>
      </c>
      <c r="K27" s="1">
        <v>15000</v>
      </c>
      <c r="L27" s="1"/>
      <c r="M27" s="1"/>
      <c r="N27" s="1">
        <v>7500</v>
      </c>
      <c r="O27" s="1">
        <v>8100</v>
      </c>
      <c r="P27" s="1">
        <v>19800</v>
      </c>
      <c r="Q27" s="1">
        <v>27900</v>
      </c>
      <c r="R27" s="1"/>
      <c r="S27" s="1"/>
      <c r="T27" s="1">
        <v>3750</v>
      </c>
      <c r="U27" s="1">
        <v>12900</v>
      </c>
      <c r="V27" s="1">
        <v>-3750</v>
      </c>
      <c r="W27"/>
    </row>
    <row r="28" spans="1:23">
      <c r="A28" t="s">
        <v>100</v>
      </c>
      <c r="B28" t="s">
        <v>101</v>
      </c>
      <c r="C28" s="1">
        <v>2024</v>
      </c>
      <c r="D28" t="s">
        <v>102</v>
      </c>
      <c r="E28" t="s">
        <v>18</v>
      </c>
      <c r="F28" t="s">
        <v>40</v>
      </c>
      <c r="I28" s="1">
        <v>590</v>
      </c>
      <c r="J28" s="1">
        <v>2440</v>
      </c>
      <c r="K28" s="1">
        <v>3030</v>
      </c>
      <c r="L28" s="1"/>
      <c r="M28" s="1"/>
      <c r="N28" s="1">
        <v>3030</v>
      </c>
      <c r="O28" s="1">
        <v>9270</v>
      </c>
      <c r="P28" s="1">
        <v>20640</v>
      </c>
      <c r="Q28" s="1">
        <v>29910</v>
      </c>
      <c r="R28" s="1"/>
      <c r="S28" s="1"/>
      <c r="T28" s="1">
        <v>0</v>
      </c>
      <c r="U28" s="1">
        <v>26880</v>
      </c>
      <c r="V28" s="1">
        <v>-3030</v>
      </c>
      <c r="W28"/>
    </row>
    <row r="29" spans="1:23">
      <c r="A29" t="s">
        <v>87</v>
      </c>
      <c r="B29" t="s">
        <v>88</v>
      </c>
      <c r="C29" s="1">
        <v>2024</v>
      </c>
      <c r="D29" t="s">
        <v>89</v>
      </c>
      <c r="E29" t="s">
        <v>18</v>
      </c>
      <c r="F29" t="s">
        <v>40</v>
      </c>
      <c r="I29" s="1">
        <v>350</v>
      </c>
      <c r="J29" s="1">
        <v>4250</v>
      </c>
      <c r="K29" s="1">
        <v>4600</v>
      </c>
      <c r="L29" s="1"/>
      <c r="M29" s="1"/>
      <c r="N29" s="1">
        <v>4600</v>
      </c>
      <c r="O29" s="1">
        <v>1510</v>
      </c>
      <c r="P29" s="1">
        <v>9270</v>
      </c>
      <c r="Q29" s="1">
        <v>10780</v>
      </c>
      <c r="R29" s="1"/>
      <c r="S29" s="1"/>
      <c r="T29" s="1">
        <v>0</v>
      </c>
      <c r="U29" s="1">
        <v>6180</v>
      </c>
      <c r="V29" s="1">
        <v>-4600</v>
      </c>
      <c r="W29"/>
    </row>
    <row r="30" spans="1:23">
      <c r="A30" t="s">
        <v>70</v>
      </c>
      <c r="B30" t="s">
        <v>71</v>
      </c>
      <c r="C30" s="1">
        <v>2024</v>
      </c>
      <c r="D30" t="s">
        <v>72</v>
      </c>
      <c r="E30" t="s">
        <v>18</v>
      </c>
      <c r="F30" t="s">
        <v>40</v>
      </c>
      <c r="I30" s="1">
        <v>2200</v>
      </c>
      <c r="J30" s="1">
        <v>8300</v>
      </c>
      <c r="K30" s="1">
        <v>10500</v>
      </c>
      <c r="L30" s="1"/>
      <c r="M30" s="1"/>
      <c r="N30" s="1">
        <v>7500</v>
      </c>
      <c r="O30" s="1">
        <v>3670</v>
      </c>
      <c r="P30" s="1">
        <v>13710</v>
      </c>
      <c r="Q30" s="1">
        <v>17380</v>
      </c>
      <c r="R30" s="1"/>
      <c r="S30" s="1"/>
      <c r="T30" s="1">
        <v>7500</v>
      </c>
      <c r="U30" s="1">
        <v>6880</v>
      </c>
      <c r="V30" s="1">
        <v>0</v>
      </c>
      <c r="W30"/>
    </row>
    <row r="31" spans="1:23">
      <c r="A31" t="s">
        <v>73</v>
      </c>
      <c r="B31" t="s">
        <v>74</v>
      </c>
      <c r="C31" s="1">
        <v>2024</v>
      </c>
      <c r="D31" t="s">
        <v>75</v>
      </c>
      <c r="E31" t="s">
        <v>18</v>
      </c>
      <c r="F31" t="s">
        <v>40</v>
      </c>
      <c r="I31" s="1">
        <v>2520</v>
      </c>
      <c r="J31" s="1">
        <v>11080</v>
      </c>
      <c r="K31" s="1">
        <v>13600</v>
      </c>
      <c r="L31" s="1"/>
      <c r="M31" s="1"/>
      <c r="N31" s="1">
        <v>7500</v>
      </c>
      <c r="O31" s="1">
        <v>2520</v>
      </c>
      <c r="P31" s="1">
        <v>19300</v>
      </c>
      <c r="Q31" s="1">
        <v>21820</v>
      </c>
      <c r="R31" s="1"/>
      <c r="S31" s="1"/>
      <c r="T31" s="1">
        <v>0</v>
      </c>
      <c r="U31" s="1">
        <v>8220</v>
      </c>
      <c r="V31" s="1">
        <v>-7500</v>
      </c>
      <c r="W31"/>
    </row>
    <row r="32" spans="1:23">
      <c r="A32" t="s">
        <v>76</v>
      </c>
      <c r="B32" t="s">
        <v>77</v>
      </c>
      <c r="C32" s="1">
        <v>2024</v>
      </c>
      <c r="D32" t="s">
        <v>78</v>
      </c>
      <c r="E32" t="s">
        <v>18</v>
      </c>
      <c r="F32" t="s">
        <v>40</v>
      </c>
      <c r="I32" s="1">
        <v>630</v>
      </c>
      <c r="J32" s="1">
        <v>5870</v>
      </c>
      <c r="K32" s="1">
        <v>6500</v>
      </c>
      <c r="L32" s="1"/>
      <c r="M32" s="1"/>
      <c r="N32" s="1">
        <v>6500</v>
      </c>
      <c r="O32" s="1">
        <v>2160</v>
      </c>
      <c r="P32" s="1">
        <v>11290</v>
      </c>
      <c r="Q32" s="1">
        <v>13450</v>
      </c>
      <c r="R32" s="1"/>
      <c r="S32" s="1"/>
      <c r="T32" s="1">
        <v>0</v>
      </c>
      <c r="U32" s="1">
        <v>6950</v>
      </c>
      <c r="V32" s="1">
        <v>-6500</v>
      </c>
      <c r="W32"/>
    </row>
    <row r="33" spans="1:24">
      <c r="A33" t="s">
        <v>103</v>
      </c>
      <c r="B33" t="s">
        <v>104</v>
      </c>
      <c r="C33" s="1">
        <v>2024</v>
      </c>
      <c r="D33" t="s">
        <v>105</v>
      </c>
      <c r="E33" t="s">
        <v>18</v>
      </c>
      <c r="F33" t="s">
        <v>40</v>
      </c>
      <c r="I33" s="1">
        <v>730</v>
      </c>
      <c r="J33" s="1">
        <v>4830</v>
      </c>
      <c r="K33" s="1">
        <v>5560</v>
      </c>
      <c r="L33" s="1"/>
      <c r="M33" s="1"/>
      <c r="N33" s="1">
        <v>5560</v>
      </c>
      <c r="O33" s="1">
        <v>1660</v>
      </c>
      <c r="P33" s="1">
        <v>13780</v>
      </c>
      <c r="Q33" s="1">
        <v>15440</v>
      </c>
      <c r="R33" s="1"/>
      <c r="S33" s="1"/>
      <c r="T33" s="1">
        <v>0</v>
      </c>
      <c r="U33" s="1">
        <v>9880</v>
      </c>
      <c r="V33" s="1">
        <v>-5560</v>
      </c>
      <c r="W33"/>
    </row>
    <row r="34" spans="1:24">
      <c r="A34" t="s">
        <v>79</v>
      </c>
      <c r="B34" t="s">
        <v>80</v>
      </c>
      <c r="C34" s="1">
        <v>2024</v>
      </c>
      <c r="D34" t="s">
        <v>81</v>
      </c>
      <c r="E34" t="s">
        <v>18</v>
      </c>
      <c r="F34" t="s">
        <v>40</v>
      </c>
      <c r="I34" s="1">
        <v>1020</v>
      </c>
      <c r="J34" s="1">
        <v>5480</v>
      </c>
      <c r="K34" s="1">
        <v>6500</v>
      </c>
      <c r="L34" s="1"/>
      <c r="M34" s="1"/>
      <c r="N34" s="1">
        <v>6500</v>
      </c>
      <c r="O34" s="1">
        <v>1230</v>
      </c>
      <c r="P34" s="1">
        <v>21310</v>
      </c>
      <c r="Q34" s="1">
        <v>22540</v>
      </c>
      <c r="R34" s="1"/>
      <c r="S34" s="1"/>
      <c r="T34" s="1">
        <v>0</v>
      </c>
      <c r="U34" s="1">
        <v>16040</v>
      </c>
      <c r="V34" s="1">
        <v>-6500</v>
      </c>
      <c r="W34"/>
    </row>
    <row r="35" spans="1:24">
      <c r="A35" t="s">
        <v>82</v>
      </c>
      <c r="B35" t="s">
        <v>83</v>
      </c>
      <c r="C35" s="1">
        <v>2024</v>
      </c>
      <c r="D35" t="s">
        <v>84</v>
      </c>
      <c r="E35" t="s">
        <v>18</v>
      </c>
      <c r="F35" t="s">
        <v>39</v>
      </c>
      <c r="I35" s="1">
        <v>790</v>
      </c>
      <c r="J35" s="1">
        <v>7710</v>
      </c>
      <c r="K35" s="1">
        <v>8500</v>
      </c>
      <c r="L35" s="1"/>
      <c r="M35" s="1"/>
      <c r="N35" s="1">
        <v>7500</v>
      </c>
      <c r="O35" s="1">
        <v>950</v>
      </c>
      <c r="P35" s="1">
        <v>16760</v>
      </c>
      <c r="Q35" s="1">
        <v>17710</v>
      </c>
      <c r="R35" s="1"/>
      <c r="S35" s="1"/>
      <c r="T35" s="1">
        <v>0</v>
      </c>
      <c r="U35" s="1">
        <v>9210</v>
      </c>
      <c r="V35" s="1">
        <v>-7500</v>
      </c>
      <c r="W35"/>
    </row>
    <row r="36" spans="1:24">
      <c r="A36" t="s">
        <v>67</v>
      </c>
      <c r="B36" t="s">
        <v>68</v>
      </c>
      <c r="C36" s="1">
        <v>2024</v>
      </c>
      <c r="D36" t="s">
        <v>69</v>
      </c>
      <c r="E36" t="s">
        <v>18</v>
      </c>
      <c r="F36" t="s">
        <v>40</v>
      </c>
      <c r="I36" s="1">
        <v>440</v>
      </c>
      <c r="J36" s="1">
        <v>2230</v>
      </c>
      <c r="K36" s="1">
        <v>2670</v>
      </c>
      <c r="L36" s="1"/>
      <c r="M36" s="1"/>
      <c r="N36" s="1">
        <v>2670</v>
      </c>
      <c r="O36" s="1">
        <v>2640</v>
      </c>
      <c r="P36" s="1">
        <v>10300</v>
      </c>
      <c r="Q36" s="1">
        <v>12940</v>
      </c>
      <c r="R36" s="1"/>
      <c r="S36" s="1"/>
      <c r="T36" s="1">
        <v>0</v>
      </c>
      <c r="U36" s="1">
        <v>10270</v>
      </c>
      <c r="V36" s="1">
        <v>-2670</v>
      </c>
      <c r="W36"/>
    </row>
    <row r="37" spans="1:24">
      <c r="A37" t="s">
        <v>61</v>
      </c>
      <c r="B37" t="s">
        <v>62</v>
      </c>
      <c r="C37" s="1">
        <v>2024</v>
      </c>
      <c r="D37" t="s">
        <v>63</v>
      </c>
      <c r="E37" t="s">
        <v>18</v>
      </c>
      <c r="F37" t="s">
        <v>39</v>
      </c>
      <c r="I37" s="1">
        <v>2300</v>
      </c>
      <c r="J37" s="1">
        <v>9350</v>
      </c>
      <c r="K37" s="1">
        <v>11650</v>
      </c>
      <c r="L37" s="1"/>
      <c r="M37" s="1"/>
      <c r="N37" s="1">
        <v>7500</v>
      </c>
      <c r="O37" s="1">
        <v>3460</v>
      </c>
      <c r="P37" s="1">
        <v>18120</v>
      </c>
      <c r="Q37" s="1">
        <v>21580</v>
      </c>
      <c r="R37" s="1"/>
      <c r="S37" s="1"/>
      <c r="T37" s="1">
        <v>0</v>
      </c>
      <c r="U37" s="1">
        <v>9930</v>
      </c>
      <c r="V37" s="1">
        <v>-7500</v>
      </c>
      <c r="W37"/>
    </row>
    <row r="38" spans="1:24">
      <c r="A38" s="12" t="s">
        <v>20</v>
      </c>
      <c r="B38" s="12"/>
      <c r="C38" s="13"/>
      <c r="D38" s="12"/>
      <c r="E38" s="12"/>
      <c r="F38" s="12"/>
      <c r="G38" s="12"/>
      <c r="H38" s="12"/>
      <c r="I38" s="26">
        <f t="shared" ref="I38:V38" si="1">SUM(I19:I37)</f>
        <v>275650</v>
      </c>
      <c r="J38" s="26">
        <f t="shared" si="1"/>
        <v>111440</v>
      </c>
      <c r="K38" s="26">
        <f t="shared" si="1"/>
        <v>387090</v>
      </c>
      <c r="L38" s="26"/>
      <c r="M38" s="26"/>
      <c r="N38" s="26">
        <f t="shared" si="1"/>
        <v>89760</v>
      </c>
      <c r="O38" s="26">
        <f t="shared" si="1"/>
        <v>348720</v>
      </c>
      <c r="P38" s="26">
        <f t="shared" si="1"/>
        <v>253100</v>
      </c>
      <c r="Q38" s="27">
        <f t="shared" si="1"/>
        <v>601820</v>
      </c>
      <c r="R38" s="27"/>
      <c r="S38" s="27"/>
      <c r="T38" s="27">
        <f t="shared" si="1"/>
        <v>11250</v>
      </c>
      <c r="U38" s="27">
        <f t="shared" si="1"/>
        <v>466690</v>
      </c>
      <c r="V38" s="27">
        <f t="shared" si="1"/>
        <v>-78510</v>
      </c>
      <c r="W38" s="28" t="s">
        <v>20</v>
      </c>
      <c r="X38" s="37">
        <f>U38-V38</f>
        <v>545200</v>
      </c>
    </row>
    <row r="39" spans="1:24">
      <c r="A39" s="12"/>
      <c r="B39" s="12"/>
      <c r="C39" s="13"/>
      <c r="D39" s="12"/>
      <c r="E39" s="12"/>
      <c r="F39" s="12"/>
      <c r="G39" s="12"/>
      <c r="H39" s="12"/>
      <c r="I39" s="26"/>
      <c r="J39" s="26"/>
      <c r="K39" s="26"/>
      <c r="L39" s="26"/>
      <c r="M39" s="26"/>
      <c r="N39" s="26"/>
      <c r="O39" s="26"/>
      <c r="P39" s="26"/>
      <c r="Q39" s="27"/>
      <c r="R39" s="27"/>
      <c r="S39" s="27"/>
      <c r="T39" s="27"/>
      <c r="U39" s="27"/>
      <c r="V39" s="27"/>
      <c r="W39" s="44"/>
      <c r="X39" s="37"/>
    </row>
    <row r="40" spans="1:24">
      <c r="C40" s="1"/>
      <c r="I40" s="25"/>
      <c r="J40" s="25"/>
      <c r="K40" s="25"/>
      <c r="L40" s="25"/>
      <c r="M40" s="25"/>
      <c r="N40" s="25"/>
      <c r="P40" s="25"/>
      <c r="Q40" s="29"/>
      <c r="R40" s="29"/>
      <c r="S40" s="29"/>
      <c r="T40" s="29"/>
      <c r="U40" s="29"/>
      <c r="V40" s="29"/>
      <c r="W40" s="31"/>
    </row>
    <row r="41" spans="1:24">
      <c r="A41" t="s">
        <v>79</v>
      </c>
      <c r="B41" t="s">
        <v>80</v>
      </c>
      <c r="C41" s="1">
        <v>2025</v>
      </c>
      <c r="D41" t="s">
        <v>81</v>
      </c>
      <c r="E41" t="s">
        <v>18</v>
      </c>
      <c r="F41" t="s">
        <v>40</v>
      </c>
      <c r="I41" s="1">
        <v>1020</v>
      </c>
      <c r="J41" s="1">
        <v>5480</v>
      </c>
      <c r="K41" s="1">
        <v>6500</v>
      </c>
      <c r="L41" s="1"/>
      <c r="M41" s="1"/>
      <c r="N41" s="1">
        <v>6500</v>
      </c>
      <c r="O41" s="1">
        <v>1230</v>
      </c>
      <c r="P41" s="1">
        <v>21310</v>
      </c>
      <c r="Q41" s="1">
        <v>22540</v>
      </c>
      <c r="R41" s="1"/>
      <c r="S41" s="1"/>
      <c r="T41" s="1">
        <v>0</v>
      </c>
      <c r="U41" s="1">
        <v>16040</v>
      </c>
      <c r="V41" s="1">
        <v>-6500</v>
      </c>
      <c r="W41"/>
    </row>
    <row r="42" spans="1:24">
      <c r="A42" t="s">
        <v>55</v>
      </c>
      <c r="B42" t="s">
        <v>56</v>
      </c>
      <c r="C42" s="1">
        <v>2025</v>
      </c>
      <c r="D42" t="s">
        <v>57</v>
      </c>
      <c r="E42" t="s">
        <v>18</v>
      </c>
      <c r="F42" t="s">
        <v>40</v>
      </c>
      <c r="I42" s="1">
        <v>1630</v>
      </c>
      <c r="J42" s="1">
        <v>3750</v>
      </c>
      <c r="K42" s="1">
        <v>5380</v>
      </c>
      <c r="L42" s="1"/>
      <c r="M42" s="1"/>
      <c r="N42" s="1">
        <v>5380</v>
      </c>
      <c r="O42" s="1">
        <v>8160</v>
      </c>
      <c r="P42" s="1">
        <v>26800</v>
      </c>
      <c r="Q42" s="1">
        <v>34960</v>
      </c>
      <c r="R42" s="1"/>
      <c r="S42" s="1"/>
      <c r="T42" s="1">
        <v>0</v>
      </c>
      <c r="U42" s="1">
        <v>29580</v>
      </c>
      <c r="V42" s="1">
        <v>-5380</v>
      </c>
      <c r="W42"/>
    </row>
    <row r="43" spans="1:24">
      <c r="A43" t="s">
        <v>106</v>
      </c>
      <c r="B43" t="s">
        <v>107</v>
      </c>
      <c r="C43" s="1">
        <v>2025</v>
      </c>
      <c r="D43" t="s">
        <v>108</v>
      </c>
      <c r="E43" t="s">
        <v>18</v>
      </c>
      <c r="F43" t="s">
        <v>39</v>
      </c>
      <c r="I43" s="1">
        <v>1690</v>
      </c>
      <c r="J43" s="1">
        <v>13310</v>
      </c>
      <c r="K43" s="1">
        <v>15000</v>
      </c>
      <c r="L43" s="1"/>
      <c r="M43" s="1"/>
      <c r="N43" s="1">
        <v>7500</v>
      </c>
      <c r="O43" s="1">
        <v>6340</v>
      </c>
      <c r="P43" s="1">
        <v>57790</v>
      </c>
      <c r="Q43" s="1">
        <v>64130</v>
      </c>
      <c r="R43" s="1"/>
      <c r="S43" s="1"/>
      <c r="T43" s="1">
        <v>0</v>
      </c>
      <c r="U43" s="1">
        <v>49130</v>
      </c>
      <c r="V43" s="1">
        <v>-7500</v>
      </c>
      <c r="W43"/>
    </row>
    <row r="44" spans="1:24">
      <c r="A44" t="s">
        <v>64</v>
      </c>
      <c r="B44" t="s">
        <v>65</v>
      </c>
      <c r="C44" s="1">
        <v>2025</v>
      </c>
      <c r="D44" t="s">
        <v>66</v>
      </c>
      <c r="E44" t="s">
        <v>18</v>
      </c>
      <c r="F44" t="s">
        <v>39</v>
      </c>
      <c r="I44" s="1">
        <v>4050</v>
      </c>
      <c r="J44" s="1">
        <v>10950</v>
      </c>
      <c r="K44" s="1">
        <v>15000</v>
      </c>
      <c r="L44" s="1"/>
      <c r="M44" s="1"/>
      <c r="N44" s="1">
        <v>7500</v>
      </c>
      <c r="O44" s="1">
        <v>8100</v>
      </c>
      <c r="P44" s="1">
        <v>19800</v>
      </c>
      <c r="Q44" s="1">
        <v>27900</v>
      </c>
      <c r="R44" s="1"/>
      <c r="S44" s="1"/>
      <c r="T44" s="1">
        <v>3750</v>
      </c>
      <c r="U44" s="1">
        <v>12900</v>
      </c>
      <c r="V44" s="1">
        <v>-3750</v>
      </c>
      <c r="W44"/>
    </row>
    <row r="45" spans="1:24">
      <c r="A45" t="s">
        <v>103</v>
      </c>
      <c r="B45" t="s">
        <v>104</v>
      </c>
      <c r="C45" s="1">
        <v>2025</v>
      </c>
      <c r="D45" t="s">
        <v>105</v>
      </c>
      <c r="E45" t="s">
        <v>18</v>
      </c>
      <c r="F45" t="s">
        <v>40</v>
      </c>
      <c r="I45" s="1">
        <v>730</v>
      </c>
      <c r="J45" s="1">
        <v>4830</v>
      </c>
      <c r="K45" s="1">
        <v>5560</v>
      </c>
      <c r="L45" s="1"/>
      <c r="M45" s="1"/>
      <c r="N45" s="1">
        <v>5560</v>
      </c>
      <c r="O45" s="1">
        <v>1660</v>
      </c>
      <c r="P45" s="1">
        <v>13780</v>
      </c>
      <c r="Q45" s="1">
        <v>15440</v>
      </c>
      <c r="R45" s="1"/>
      <c r="S45" s="1"/>
      <c r="T45" s="1">
        <v>0</v>
      </c>
      <c r="U45" s="1">
        <v>9880</v>
      </c>
      <c r="V45" s="1">
        <v>-5560</v>
      </c>
      <c r="W45"/>
    </row>
    <row r="46" spans="1:24">
      <c r="A46" t="s">
        <v>109</v>
      </c>
      <c r="B46" t="s">
        <v>110</v>
      </c>
      <c r="C46" s="1">
        <v>2025</v>
      </c>
      <c r="D46" t="s">
        <v>111</v>
      </c>
      <c r="E46" t="s">
        <v>18</v>
      </c>
      <c r="F46" t="s">
        <v>40</v>
      </c>
      <c r="I46" s="1">
        <v>590</v>
      </c>
      <c r="J46" s="1">
        <v>7910</v>
      </c>
      <c r="K46" s="1">
        <v>8500</v>
      </c>
      <c r="L46" s="1"/>
      <c r="M46" s="1"/>
      <c r="N46" s="1">
        <v>7500</v>
      </c>
      <c r="O46" s="1">
        <v>1370</v>
      </c>
      <c r="P46" s="1">
        <v>11290</v>
      </c>
      <c r="Q46" s="1">
        <v>12660</v>
      </c>
      <c r="R46" s="1"/>
      <c r="S46" s="1"/>
      <c r="T46" s="1">
        <v>0</v>
      </c>
      <c r="U46" s="1">
        <v>4160</v>
      </c>
      <c r="V46" s="1">
        <v>-7500</v>
      </c>
      <c r="W46"/>
    </row>
    <row r="47" spans="1:24">
      <c r="A47" t="s">
        <v>112</v>
      </c>
      <c r="B47" t="s">
        <v>113</v>
      </c>
      <c r="C47" s="1">
        <v>2025</v>
      </c>
      <c r="D47" t="s">
        <v>114</v>
      </c>
      <c r="E47" t="s">
        <v>18</v>
      </c>
      <c r="F47" t="s">
        <v>40</v>
      </c>
      <c r="I47" s="1">
        <v>3390</v>
      </c>
      <c r="J47" s="1">
        <v>8290</v>
      </c>
      <c r="K47" s="1">
        <v>11680</v>
      </c>
      <c r="L47" s="1"/>
      <c r="M47" s="1"/>
      <c r="N47" s="1">
        <v>7500</v>
      </c>
      <c r="O47" s="1">
        <v>8710</v>
      </c>
      <c r="P47" s="1">
        <v>20930</v>
      </c>
      <c r="Q47" s="1">
        <v>29640</v>
      </c>
      <c r="R47" s="1"/>
      <c r="S47" s="1"/>
      <c r="T47" s="1">
        <v>0</v>
      </c>
      <c r="U47" s="1">
        <v>17960</v>
      </c>
      <c r="V47" s="1">
        <v>-7500</v>
      </c>
      <c r="W47"/>
    </row>
    <row r="48" spans="1:24">
      <c r="A48" t="s">
        <v>76</v>
      </c>
      <c r="B48" t="s">
        <v>77</v>
      </c>
      <c r="C48" s="1">
        <v>2025</v>
      </c>
      <c r="D48" t="s">
        <v>78</v>
      </c>
      <c r="E48" t="s">
        <v>18</v>
      </c>
      <c r="F48" t="s">
        <v>40</v>
      </c>
      <c r="I48" s="1">
        <v>630</v>
      </c>
      <c r="J48" s="1">
        <v>5870</v>
      </c>
      <c r="K48" s="1">
        <v>6500</v>
      </c>
      <c r="L48" s="1"/>
      <c r="M48" s="1"/>
      <c r="N48" s="1">
        <v>6500</v>
      </c>
      <c r="O48" s="1">
        <v>2160</v>
      </c>
      <c r="P48" s="1">
        <v>11290</v>
      </c>
      <c r="Q48" s="1">
        <v>13450</v>
      </c>
      <c r="R48" s="1"/>
      <c r="S48" s="1"/>
      <c r="T48" s="1">
        <v>0</v>
      </c>
      <c r="U48" s="1">
        <v>6950</v>
      </c>
      <c r="V48" s="1">
        <v>-6500</v>
      </c>
      <c r="W48"/>
    </row>
    <row r="49" spans="1:23">
      <c r="A49" t="s">
        <v>115</v>
      </c>
      <c r="B49" t="s">
        <v>116</v>
      </c>
      <c r="C49" s="1">
        <v>2025</v>
      </c>
      <c r="D49" t="s">
        <v>117</v>
      </c>
      <c r="E49" t="s">
        <v>18</v>
      </c>
      <c r="F49" t="s">
        <v>40</v>
      </c>
      <c r="I49" s="1">
        <v>1100</v>
      </c>
      <c r="J49" s="1">
        <v>3900</v>
      </c>
      <c r="K49" s="1">
        <v>5000</v>
      </c>
      <c r="L49" s="1"/>
      <c r="M49" s="1"/>
      <c r="N49" s="1">
        <v>5000</v>
      </c>
      <c r="O49" s="1">
        <v>1830</v>
      </c>
      <c r="P49" s="1">
        <v>8940</v>
      </c>
      <c r="Q49" s="1">
        <v>10770</v>
      </c>
      <c r="R49" s="1"/>
      <c r="S49" s="1"/>
      <c r="T49" s="1">
        <v>0</v>
      </c>
      <c r="U49" s="1">
        <v>5770</v>
      </c>
      <c r="V49" s="1">
        <v>-5000</v>
      </c>
      <c r="W49"/>
    </row>
    <row r="50" spans="1:23">
      <c r="A50" t="s">
        <v>97</v>
      </c>
      <c r="B50" t="s">
        <v>98</v>
      </c>
      <c r="C50" s="1">
        <v>2025</v>
      </c>
      <c r="D50" t="s">
        <v>99</v>
      </c>
      <c r="E50" t="s">
        <v>18</v>
      </c>
      <c r="F50" t="s">
        <v>40</v>
      </c>
      <c r="I50" s="1">
        <v>970</v>
      </c>
      <c r="J50" s="1">
        <v>6710</v>
      </c>
      <c r="K50" s="1">
        <v>7680</v>
      </c>
      <c r="L50" s="1"/>
      <c r="M50" s="1"/>
      <c r="N50" s="1">
        <v>7500</v>
      </c>
      <c r="O50" s="1">
        <v>1920</v>
      </c>
      <c r="P50" s="1">
        <v>9890</v>
      </c>
      <c r="Q50" s="1">
        <v>11810</v>
      </c>
      <c r="R50" s="1"/>
      <c r="S50" s="1"/>
      <c r="T50" s="1">
        <v>0</v>
      </c>
      <c r="U50" s="1">
        <v>4130</v>
      </c>
      <c r="V50" s="1">
        <v>-7500</v>
      </c>
      <c r="W50"/>
    </row>
    <row r="51" spans="1:23">
      <c r="A51" t="s">
        <v>73</v>
      </c>
      <c r="B51" t="s">
        <v>74</v>
      </c>
      <c r="C51" s="1">
        <v>2025</v>
      </c>
      <c r="D51" t="s">
        <v>75</v>
      </c>
      <c r="E51" t="s">
        <v>18</v>
      </c>
      <c r="F51" t="s">
        <v>40</v>
      </c>
      <c r="I51" s="1">
        <v>2520</v>
      </c>
      <c r="J51" s="1">
        <v>11080</v>
      </c>
      <c r="K51" s="1">
        <v>13600</v>
      </c>
      <c r="L51" s="1"/>
      <c r="M51" s="1"/>
      <c r="N51" s="1">
        <v>7500</v>
      </c>
      <c r="O51" s="1">
        <v>2520</v>
      </c>
      <c r="P51" s="1">
        <v>19300</v>
      </c>
      <c r="Q51" s="1">
        <v>21820</v>
      </c>
      <c r="R51" s="1"/>
      <c r="S51" s="1"/>
      <c r="T51" s="1">
        <v>0</v>
      </c>
      <c r="U51" s="1">
        <v>8220</v>
      </c>
      <c r="V51" s="1">
        <v>-7500</v>
      </c>
      <c r="W51"/>
    </row>
    <row r="52" spans="1:23">
      <c r="A52" t="s">
        <v>118</v>
      </c>
      <c r="B52" t="s">
        <v>119</v>
      </c>
      <c r="C52" s="1">
        <v>2025</v>
      </c>
      <c r="D52" t="s">
        <v>120</v>
      </c>
      <c r="E52" t="s">
        <v>18</v>
      </c>
      <c r="F52" t="s">
        <v>40</v>
      </c>
      <c r="I52" s="1">
        <v>3050</v>
      </c>
      <c r="J52" s="1">
        <v>12490</v>
      </c>
      <c r="K52" s="1">
        <v>15540</v>
      </c>
      <c r="L52" s="1"/>
      <c r="M52" s="1"/>
      <c r="N52" s="1">
        <v>7500</v>
      </c>
      <c r="O52" s="1">
        <v>3600</v>
      </c>
      <c r="P52" s="1">
        <v>18030</v>
      </c>
      <c r="Q52" s="1">
        <v>21630</v>
      </c>
      <c r="R52" s="1"/>
      <c r="S52" s="1"/>
      <c r="T52" s="1">
        <v>0</v>
      </c>
      <c r="U52" s="1">
        <v>6090</v>
      </c>
      <c r="V52" s="1">
        <v>-7500</v>
      </c>
      <c r="W52"/>
    </row>
    <row r="53" spans="1:23">
      <c r="A53" t="s">
        <v>121</v>
      </c>
      <c r="B53" t="s">
        <v>122</v>
      </c>
      <c r="C53" s="1">
        <v>2025</v>
      </c>
      <c r="D53" t="s">
        <v>123</v>
      </c>
      <c r="E53" t="s">
        <v>18</v>
      </c>
      <c r="F53" t="s">
        <v>39</v>
      </c>
      <c r="I53" s="1">
        <v>840</v>
      </c>
      <c r="J53" s="1">
        <v>12160</v>
      </c>
      <c r="K53" s="1">
        <v>13000</v>
      </c>
      <c r="L53" s="1"/>
      <c r="M53" s="1"/>
      <c r="N53" s="1">
        <v>7500</v>
      </c>
      <c r="O53" s="1">
        <v>3240</v>
      </c>
      <c r="P53" s="1">
        <v>18680</v>
      </c>
      <c r="Q53" s="1">
        <v>21920</v>
      </c>
      <c r="R53" s="1"/>
      <c r="S53" s="1"/>
      <c r="T53" s="1">
        <v>0</v>
      </c>
      <c r="U53" s="1">
        <v>8920</v>
      </c>
      <c r="V53" s="1">
        <v>-7500</v>
      </c>
      <c r="W53"/>
    </row>
    <row r="54" spans="1:23">
      <c r="A54" t="s">
        <v>70</v>
      </c>
      <c r="B54" t="s">
        <v>71</v>
      </c>
      <c r="C54" s="1">
        <v>2025</v>
      </c>
      <c r="D54" t="s">
        <v>72</v>
      </c>
      <c r="E54" t="s">
        <v>18</v>
      </c>
      <c r="F54" t="s">
        <v>40</v>
      </c>
      <c r="I54" s="1">
        <v>2200</v>
      </c>
      <c r="J54" s="1">
        <v>8300</v>
      </c>
      <c r="K54" s="1">
        <v>10500</v>
      </c>
      <c r="L54" s="1"/>
      <c r="M54" s="1"/>
      <c r="N54" s="1">
        <v>7500</v>
      </c>
      <c r="O54" s="1">
        <v>3670</v>
      </c>
      <c r="P54" s="1">
        <v>13710</v>
      </c>
      <c r="Q54" s="1">
        <v>17380</v>
      </c>
      <c r="R54" s="1"/>
      <c r="S54" s="1"/>
      <c r="T54" s="1">
        <v>7500</v>
      </c>
      <c r="U54" s="1">
        <v>6880</v>
      </c>
      <c r="V54" s="1">
        <v>0</v>
      </c>
      <c r="W54"/>
    </row>
    <row r="55" spans="1:23">
      <c r="A55" t="s">
        <v>124</v>
      </c>
      <c r="B55" t="s">
        <v>125</v>
      </c>
      <c r="C55" s="1">
        <v>2025</v>
      </c>
      <c r="D55" t="s">
        <v>126</v>
      </c>
      <c r="E55" t="s">
        <v>18</v>
      </c>
      <c r="F55" t="s">
        <v>40</v>
      </c>
      <c r="I55" s="1">
        <v>1460</v>
      </c>
      <c r="J55" s="1">
        <v>10320</v>
      </c>
      <c r="K55" s="1">
        <v>11780</v>
      </c>
      <c r="L55" s="1"/>
      <c r="M55" s="1"/>
      <c r="N55" s="1">
        <v>7500</v>
      </c>
      <c r="O55" s="1">
        <v>4390</v>
      </c>
      <c r="P55" s="1">
        <v>20320</v>
      </c>
      <c r="Q55" s="1">
        <v>24710</v>
      </c>
      <c r="R55" s="1"/>
      <c r="S55" s="1"/>
      <c r="T55" s="1">
        <v>0</v>
      </c>
      <c r="U55" s="1">
        <v>12930</v>
      </c>
      <c r="V55" s="1">
        <v>-7500</v>
      </c>
      <c r="W55"/>
    </row>
    <row r="56" spans="1:23">
      <c r="A56" t="s">
        <v>127</v>
      </c>
      <c r="B56" t="s">
        <v>128</v>
      </c>
      <c r="C56" s="1">
        <v>2025</v>
      </c>
      <c r="D56" t="s">
        <v>129</v>
      </c>
      <c r="E56" t="s">
        <v>18</v>
      </c>
      <c r="F56" t="s">
        <v>40</v>
      </c>
      <c r="I56" s="1">
        <v>3050</v>
      </c>
      <c r="J56" s="1">
        <v>4830</v>
      </c>
      <c r="K56" s="1">
        <v>7880</v>
      </c>
      <c r="L56" s="1"/>
      <c r="M56" s="1"/>
      <c r="N56" s="1">
        <v>7500</v>
      </c>
      <c r="O56" s="1">
        <v>18300</v>
      </c>
      <c r="P56" s="1">
        <v>20210</v>
      </c>
      <c r="Q56" s="1">
        <v>38510</v>
      </c>
      <c r="R56" s="1"/>
      <c r="S56" s="1"/>
      <c r="T56" s="1">
        <v>0</v>
      </c>
      <c r="U56" s="1">
        <v>30630</v>
      </c>
      <c r="V56" s="1">
        <v>-7500</v>
      </c>
      <c r="W56"/>
    </row>
    <row r="57" spans="1:23">
      <c r="A57" t="s">
        <v>87</v>
      </c>
      <c r="B57" t="s">
        <v>88</v>
      </c>
      <c r="C57" s="1">
        <v>2025</v>
      </c>
      <c r="D57" t="s">
        <v>89</v>
      </c>
      <c r="E57" t="s">
        <v>18</v>
      </c>
      <c r="F57" t="s">
        <v>40</v>
      </c>
      <c r="I57" s="1">
        <v>350</v>
      </c>
      <c r="J57" s="1">
        <v>4250</v>
      </c>
      <c r="K57" s="1">
        <v>4600</v>
      </c>
      <c r="L57" s="1"/>
      <c r="M57" s="1"/>
      <c r="N57" s="1">
        <v>4600</v>
      </c>
      <c r="O57" s="1">
        <v>1510</v>
      </c>
      <c r="P57" s="1">
        <v>9270</v>
      </c>
      <c r="Q57" s="1">
        <v>10780</v>
      </c>
      <c r="R57" s="1"/>
      <c r="S57" s="1"/>
      <c r="T57" s="1">
        <v>0</v>
      </c>
      <c r="U57" s="1">
        <v>6180</v>
      </c>
      <c r="V57" s="1">
        <v>-4600</v>
      </c>
      <c r="W57"/>
    </row>
    <row r="58" spans="1:23">
      <c r="A58" t="s">
        <v>52</v>
      </c>
      <c r="B58" t="s">
        <v>53</v>
      </c>
      <c r="C58" s="1">
        <v>2025</v>
      </c>
      <c r="D58" t="s">
        <v>54</v>
      </c>
      <c r="E58" t="s">
        <v>18</v>
      </c>
      <c r="I58" s="1">
        <v>0</v>
      </c>
      <c r="J58" s="1">
        <v>0</v>
      </c>
      <c r="K58" s="1">
        <v>0</v>
      </c>
      <c r="L58" s="1"/>
      <c r="M58" s="1"/>
      <c r="N58" s="1">
        <v>0</v>
      </c>
      <c r="O58" s="1">
        <v>14940</v>
      </c>
      <c r="P58" s="1">
        <v>0</v>
      </c>
      <c r="Q58" s="1">
        <v>14940</v>
      </c>
      <c r="R58" s="1"/>
      <c r="S58" s="1"/>
      <c r="T58" s="1">
        <v>0</v>
      </c>
      <c r="U58" s="1">
        <v>14940</v>
      </c>
      <c r="V58" s="1">
        <v>0</v>
      </c>
      <c r="W58"/>
    </row>
    <row r="59" spans="1:23">
      <c r="A59" t="s">
        <v>130</v>
      </c>
      <c r="B59" t="s">
        <v>131</v>
      </c>
      <c r="C59" s="1">
        <v>2025</v>
      </c>
      <c r="D59" t="s">
        <v>132</v>
      </c>
      <c r="E59" t="s">
        <v>18</v>
      </c>
      <c r="F59" t="s">
        <v>40</v>
      </c>
      <c r="I59" s="1">
        <v>460</v>
      </c>
      <c r="J59" s="1">
        <v>6540</v>
      </c>
      <c r="K59" s="1">
        <v>7000</v>
      </c>
      <c r="L59" s="1"/>
      <c r="M59" s="1"/>
      <c r="N59" s="1">
        <v>7000</v>
      </c>
      <c r="O59" s="1">
        <v>1850</v>
      </c>
      <c r="P59" s="1">
        <v>6300</v>
      </c>
      <c r="Q59" s="1">
        <v>8150</v>
      </c>
      <c r="R59" s="1"/>
      <c r="S59" s="1"/>
      <c r="T59" s="1">
        <v>0</v>
      </c>
      <c r="U59" s="1">
        <v>1150</v>
      </c>
      <c r="V59" s="1">
        <v>-7000</v>
      </c>
      <c r="W59"/>
    </row>
    <row r="60" spans="1:23">
      <c r="A60" t="s">
        <v>82</v>
      </c>
      <c r="B60" t="s">
        <v>83</v>
      </c>
      <c r="C60" s="1">
        <v>2025</v>
      </c>
      <c r="D60" t="s">
        <v>84</v>
      </c>
      <c r="E60" t="s">
        <v>18</v>
      </c>
      <c r="F60" t="s">
        <v>39</v>
      </c>
      <c r="I60" s="1">
        <v>790</v>
      </c>
      <c r="J60" s="1">
        <v>7710</v>
      </c>
      <c r="K60" s="1">
        <v>8500</v>
      </c>
      <c r="L60" s="1"/>
      <c r="M60" s="1"/>
      <c r="N60" s="1">
        <v>7500</v>
      </c>
      <c r="O60" s="1">
        <v>950</v>
      </c>
      <c r="P60" s="1">
        <v>16760</v>
      </c>
      <c r="Q60" s="1">
        <v>17710</v>
      </c>
      <c r="R60" s="1"/>
      <c r="S60" s="1"/>
      <c r="T60" s="1">
        <v>0</v>
      </c>
      <c r="U60" s="1">
        <v>9210</v>
      </c>
      <c r="V60" s="1">
        <v>-7500</v>
      </c>
      <c r="W60"/>
    </row>
    <row r="61" spans="1:23">
      <c r="A61" t="s">
        <v>58</v>
      </c>
      <c r="B61" t="s">
        <v>59</v>
      </c>
      <c r="C61" s="1">
        <v>2025</v>
      </c>
      <c r="D61" t="s">
        <v>60</v>
      </c>
      <c r="E61" t="s">
        <v>18</v>
      </c>
      <c r="F61" t="s">
        <v>40</v>
      </c>
      <c r="I61" s="1">
        <v>3130</v>
      </c>
      <c r="J61" s="1">
        <v>20710</v>
      </c>
      <c r="K61" s="1">
        <v>23840</v>
      </c>
      <c r="L61" s="1"/>
      <c r="M61" s="1"/>
      <c r="N61" s="1">
        <v>7500</v>
      </c>
      <c r="O61" s="1">
        <v>7820</v>
      </c>
      <c r="P61" s="1">
        <v>22750</v>
      </c>
      <c r="Q61" s="1">
        <v>30570</v>
      </c>
      <c r="R61" s="1"/>
      <c r="S61" s="1"/>
      <c r="T61" s="1">
        <v>0</v>
      </c>
      <c r="U61" s="1">
        <v>6730</v>
      </c>
      <c r="V61" s="1">
        <v>-7500</v>
      </c>
      <c r="W61"/>
    </row>
    <row r="62" spans="1:23">
      <c r="A62" t="s">
        <v>133</v>
      </c>
      <c r="B62" t="s">
        <v>134</v>
      </c>
      <c r="C62" s="1">
        <v>2025</v>
      </c>
      <c r="D62" t="s">
        <v>135</v>
      </c>
      <c r="E62" t="s">
        <v>18</v>
      </c>
      <c r="F62" t="s">
        <v>40</v>
      </c>
      <c r="I62" s="1">
        <v>1000</v>
      </c>
      <c r="J62" s="1">
        <v>5800</v>
      </c>
      <c r="K62" s="1">
        <v>6800</v>
      </c>
      <c r="L62" s="1"/>
      <c r="M62" s="1"/>
      <c r="N62" s="1">
        <v>3400</v>
      </c>
      <c r="O62" s="1">
        <v>2100</v>
      </c>
      <c r="P62" s="1">
        <v>5780</v>
      </c>
      <c r="Q62" s="1">
        <v>7880</v>
      </c>
      <c r="R62" s="1"/>
      <c r="S62" s="1"/>
      <c r="T62" s="1">
        <v>0</v>
      </c>
      <c r="U62" s="1">
        <v>1080</v>
      </c>
      <c r="V62" s="1">
        <v>-3400</v>
      </c>
      <c r="W62"/>
    </row>
    <row r="63" spans="1:23">
      <c r="A63" t="s">
        <v>67</v>
      </c>
      <c r="B63" t="s">
        <v>68</v>
      </c>
      <c r="C63" s="1">
        <v>2025</v>
      </c>
      <c r="D63" t="s">
        <v>69</v>
      </c>
      <c r="E63" t="s">
        <v>18</v>
      </c>
      <c r="F63" t="s">
        <v>40</v>
      </c>
      <c r="I63" s="1">
        <v>440</v>
      </c>
      <c r="J63" s="1">
        <v>2230</v>
      </c>
      <c r="K63" s="1">
        <v>2670</v>
      </c>
      <c r="L63" s="1"/>
      <c r="M63" s="1"/>
      <c r="N63" s="1">
        <v>2670</v>
      </c>
      <c r="O63" s="1">
        <v>2640</v>
      </c>
      <c r="P63" s="1">
        <v>10300</v>
      </c>
      <c r="Q63" s="1">
        <v>12940</v>
      </c>
      <c r="R63" s="1"/>
      <c r="S63" s="1"/>
      <c r="T63" s="1">
        <v>0</v>
      </c>
      <c r="U63" s="1">
        <v>10270</v>
      </c>
      <c r="V63" s="1">
        <v>-2670</v>
      </c>
      <c r="W63"/>
    </row>
    <row r="64" spans="1:23">
      <c r="A64" t="s">
        <v>100</v>
      </c>
      <c r="B64" t="s">
        <v>101</v>
      </c>
      <c r="C64" s="1">
        <v>2025</v>
      </c>
      <c r="D64" t="s">
        <v>102</v>
      </c>
      <c r="E64" t="s">
        <v>18</v>
      </c>
      <c r="F64" t="s">
        <v>40</v>
      </c>
      <c r="I64" s="1">
        <v>590</v>
      </c>
      <c r="J64" s="1">
        <v>2440</v>
      </c>
      <c r="K64" s="1">
        <v>3030</v>
      </c>
      <c r="L64" s="1"/>
      <c r="M64" s="1"/>
      <c r="N64" s="1">
        <v>3030</v>
      </c>
      <c r="O64" s="1">
        <v>9270</v>
      </c>
      <c r="P64" s="1">
        <v>20640</v>
      </c>
      <c r="Q64" s="1">
        <v>29910</v>
      </c>
      <c r="R64" s="1"/>
      <c r="S64" s="1"/>
      <c r="T64" s="1">
        <v>0</v>
      </c>
      <c r="U64" s="1">
        <v>26880</v>
      </c>
      <c r="V64" s="1">
        <v>-3030</v>
      </c>
      <c r="W64"/>
    </row>
    <row r="65" spans="1:24">
      <c r="A65" t="s">
        <v>90</v>
      </c>
      <c r="B65" t="s">
        <v>91</v>
      </c>
      <c r="C65" s="1">
        <v>2025</v>
      </c>
      <c r="D65" t="s">
        <v>92</v>
      </c>
      <c r="E65" t="s">
        <v>18</v>
      </c>
      <c r="F65" t="s">
        <v>40</v>
      </c>
      <c r="I65" s="1">
        <v>1130</v>
      </c>
      <c r="J65" s="1">
        <v>5970</v>
      </c>
      <c r="K65" s="1">
        <v>7100</v>
      </c>
      <c r="L65" s="1"/>
      <c r="M65" s="1"/>
      <c r="N65" s="1">
        <v>0</v>
      </c>
      <c r="O65" s="1">
        <v>2250</v>
      </c>
      <c r="P65" s="1">
        <v>7290</v>
      </c>
      <c r="Q65" s="1">
        <v>9540</v>
      </c>
      <c r="R65" s="1"/>
      <c r="S65" s="1"/>
      <c r="T65" s="1">
        <v>0</v>
      </c>
      <c r="U65" s="1">
        <v>2440</v>
      </c>
      <c r="V65" s="1">
        <v>0</v>
      </c>
      <c r="W65"/>
    </row>
    <row r="66" spans="1:24">
      <c r="A66" t="s">
        <v>136</v>
      </c>
      <c r="B66" t="s">
        <v>137</v>
      </c>
      <c r="C66" s="1">
        <v>2025</v>
      </c>
      <c r="D66" t="s">
        <v>138</v>
      </c>
      <c r="E66" t="s">
        <v>18</v>
      </c>
      <c r="F66" t="s">
        <v>40</v>
      </c>
      <c r="I66" s="1">
        <v>1690</v>
      </c>
      <c r="J66" s="1">
        <v>5810</v>
      </c>
      <c r="K66" s="1">
        <v>7500</v>
      </c>
      <c r="L66" s="1"/>
      <c r="M66" s="1"/>
      <c r="N66" s="1">
        <v>7500</v>
      </c>
      <c r="O66" s="1">
        <v>4320</v>
      </c>
      <c r="P66" s="1">
        <v>10860</v>
      </c>
      <c r="Q66" s="1">
        <v>15180</v>
      </c>
      <c r="R66" s="1"/>
      <c r="S66" s="1"/>
      <c r="T66" s="1">
        <v>0</v>
      </c>
      <c r="U66" s="1">
        <v>7680</v>
      </c>
      <c r="V66" s="1">
        <v>-7500</v>
      </c>
      <c r="W66"/>
    </row>
    <row r="67" spans="1:24">
      <c r="A67" t="s">
        <v>61</v>
      </c>
      <c r="B67" t="s">
        <v>62</v>
      </c>
      <c r="C67" s="1">
        <v>2025</v>
      </c>
      <c r="D67" t="s">
        <v>63</v>
      </c>
      <c r="E67" t="s">
        <v>18</v>
      </c>
      <c r="F67" t="s">
        <v>39</v>
      </c>
      <c r="I67" s="1">
        <v>2300</v>
      </c>
      <c r="J67" s="1">
        <v>9350</v>
      </c>
      <c r="K67" s="1">
        <v>11650</v>
      </c>
      <c r="L67" s="1"/>
      <c r="M67" s="1"/>
      <c r="N67" s="1">
        <v>7500</v>
      </c>
      <c r="O67" s="1">
        <v>3460</v>
      </c>
      <c r="P67" s="1">
        <v>18120</v>
      </c>
      <c r="Q67" s="1">
        <v>21580</v>
      </c>
      <c r="R67" s="1"/>
      <c r="S67" s="1"/>
      <c r="T67" s="1">
        <v>0</v>
      </c>
      <c r="U67" s="1">
        <v>9930</v>
      </c>
      <c r="V67" s="1">
        <v>-7500</v>
      </c>
      <c r="W67"/>
    </row>
    <row r="68" spans="1:24">
      <c r="A68" t="s">
        <v>85</v>
      </c>
      <c r="B68" t="s">
        <v>86</v>
      </c>
      <c r="C68" s="1">
        <v>2025</v>
      </c>
      <c r="D68" t="s">
        <v>54</v>
      </c>
      <c r="E68" t="s">
        <v>18</v>
      </c>
      <c r="I68" s="1">
        <v>0</v>
      </c>
      <c r="J68" s="1">
        <v>0</v>
      </c>
      <c r="K68" s="1">
        <v>0</v>
      </c>
      <c r="L68" s="1"/>
      <c r="M68" s="1"/>
      <c r="N68" s="1">
        <v>0</v>
      </c>
      <c r="O68" s="1">
        <v>20290</v>
      </c>
      <c r="P68" s="1">
        <v>0</v>
      </c>
      <c r="Q68" s="1">
        <v>20290</v>
      </c>
      <c r="R68" s="1"/>
      <c r="S68" s="1"/>
      <c r="T68" s="1">
        <v>0</v>
      </c>
      <c r="U68" s="1">
        <v>20290</v>
      </c>
      <c r="V68" s="1">
        <v>0</v>
      </c>
      <c r="W68"/>
    </row>
    <row r="69" spans="1:24">
      <c r="A69" t="s">
        <v>139</v>
      </c>
      <c r="B69" t="s">
        <v>140</v>
      </c>
      <c r="C69" s="1">
        <v>2025</v>
      </c>
      <c r="D69" t="s">
        <v>141</v>
      </c>
      <c r="E69" t="s">
        <v>18</v>
      </c>
      <c r="F69" t="s">
        <v>40</v>
      </c>
      <c r="I69" s="1">
        <v>7730</v>
      </c>
      <c r="J69" s="1">
        <v>45240</v>
      </c>
      <c r="K69" s="1">
        <v>52970</v>
      </c>
      <c r="L69" s="1"/>
      <c r="M69" s="1"/>
      <c r="N69" s="1">
        <v>7500</v>
      </c>
      <c r="O69" s="1">
        <v>5800</v>
      </c>
      <c r="P69" s="1">
        <v>52390</v>
      </c>
      <c r="Q69" s="1">
        <v>58190</v>
      </c>
      <c r="R69" s="1"/>
      <c r="S69" s="1"/>
      <c r="T69" s="1">
        <v>0</v>
      </c>
      <c r="U69" s="1">
        <v>5220</v>
      </c>
      <c r="V69" s="1">
        <v>-7500</v>
      </c>
      <c r="W69"/>
    </row>
    <row r="70" spans="1:24">
      <c r="A70" t="s">
        <v>142</v>
      </c>
      <c r="B70" t="s">
        <v>143</v>
      </c>
      <c r="C70" s="1">
        <v>2025</v>
      </c>
      <c r="D70" t="s">
        <v>144</v>
      </c>
      <c r="E70" t="s">
        <v>18</v>
      </c>
      <c r="F70" t="s">
        <v>40</v>
      </c>
      <c r="I70" s="1">
        <v>4860</v>
      </c>
      <c r="J70" s="1">
        <v>14790</v>
      </c>
      <c r="K70" s="1">
        <v>19650</v>
      </c>
      <c r="L70" s="1"/>
      <c r="M70" s="1"/>
      <c r="N70" s="1">
        <v>7500</v>
      </c>
      <c r="O70" s="1">
        <v>4860</v>
      </c>
      <c r="P70" s="1">
        <v>31690</v>
      </c>
      <c r="Q70" s="1">
        <v>36550</v>
      </c>
      <c r="R70" s="1"/>
      <c r="S70" s="1"/>
      <c r="T70" s="1">
        <v>0</v>
      </c>
      <c r="U70" s="1">
        <v>16900</v>
      </c>
      <c r="V70" s="1">
        <v>-7500</v>
      </c>
      <c r="W70"/>
    </row>
    <row r="71" spans="1:24">
      <c r="A71" t="s">
        <v>145</v>
      </c>
      <c r="B71" t="s">
        <v>146</v>
      </c>
      <c r="C71" s="1">
        <v>2025</v>
      </c>
      <c r="D71" t="s">
        <v>147</v>
      </c>
      <c r="E71" t="s">
        <v>18</v>
      </c>
      <c r="F71" t="s">
        <v>40</v>
      </c>
      <c r="I71" s="1">
        <v>1740</v>
      </c>
      <c r="J71" s="1">
        <v>4760</v>
      </c>
      <c r="K71" s="1">
        <v>6500</v>
      </c>
      <c r="L71" s="1"/>
      <c r="M71" s="1"/>
      <c r="N71" s="1">
        <v>6500</v>
      </c>
      <c r="O71" s="1">
        <v>6960</v>
      </c>
      <c r="P71" s="1">
        <v>14300</v>
      </c>
      <c r="Q71" s="1">
        <v>21260</v>
      </c>
      <c r="R71" s="1"/>
      <c r="S71" s="1"/>
      <c r="T71" s="1">
        <v>0</v>
      </c>
      <c r="U71" s="1">
        <v>14760</v>
      </c>
      <c r="V71" s="1">
        <v>-6500</v>
      </c>
      <c r="W71"/>
    </row>
    <row r="72" spans="1:24">
      <c r="A72" s="12" t="s">
        <v>20</v>
      </c>
      <c r="B72" s="12"/>
      <c r="C72" s="13"/>
      <c r="D72" s="12"/>
      <c r="E72" s="12"/>
      <c r="F72" s="12"/>
      <c r="G72" s="12"/>
      <c r="H72" s="12"/>
      <c r="I72" s="26">
        <f t="shared" ref="I72:V72" si="2">SUM(I41:I71)</f>
        <v>55130</v>
      </c>
      <c r="J72" s="26">
        <f t="shared" si="2"/>
        <v>265780</v>
      </c>
      <c r="K72" s="26">
        <f t="shared" si="2"/>
        <v>320910</v>
      </c>
      <c r="L72" s="26"/>
      <c r="M72" s="26"/>
      <c r="N72" s="26">
        <f t="shared" si="2"/>
        <v>183640</v>
      </c>
      <c r="O72" s="26">
        <f t="shared" si="2"/>
        <v>166220</v>
      </c>
      <c r="P72" s="26">
        <f t="shared" si="2"/>
        <v>538520</v>
      </c>
      <c r="Q72" s="27">
        <f t="shared" si="2"/>
        <v>704740</v>
      </c>
      <c r="R72" s="27"/>
      <c r="S72" s="27"/>
      <c r="T72" s="27">
        <f t="shared" si="2"/>
        <v>11250</v>
      </c>
      <c r="U72" s="27">
        <f t="shared" si="2"/>
        <v>383830</v>
      </c>
      <c r="V72" s="27">
        <f t="shared" si="2"/>
        <v>-172390</v>
      </c>
      <c r="W72" s="32" t="s">
        <v>20</v>
      </c>
      <c r="X72" s="37">
        <f>U72-V72</f>
        <v>556220</v>
      </c>
    </row>
    <row r="73" spans="1:24">
      <c r="Q73" s="30"/>
      <c r="R73" s="30"/>
      <c r="S73" s="30"/>
      <c r="T73" s="30"/>
      <c r="U73" s="30"/>
      <c r="V73" s="30"/>
      <c r="W73" s="33"/>
    </row>
    <row r="74" spans="1:24">
      <c r="Q74" s="30"/>
      <c r="R74" s="30"/>
      <c r="S74" s="30"/>
      <c r="T74" s="30"/>
      <c r="U74" s="30"/>
      <c r="V74" s="30"/>
      <c r="W74" s="33"/>
    </row>
    <row r="75" spans="1:24">
      <c r="A75" t="s">
        <v>148</v>
      </c>
      <c r="B75" t="s">
        <v>149</v>
      </c>
      <c r="C75" s="1">
        <v>2026</v>
      </c>
      <c r="D75" t="s">
        <v>150</v>
      </c>
      <c r="E75" t="s">
        <v>18</v>
      </c>
      <c r="F75" t="s">
        <v>44</v>
      </c>
      <c r="I75" s="1">
        <v>9640</v>
      </c>
      <c r="J75" s="1">
        <v>82040</v>
      </c>
      <c r="K75" s="1">
        <v>91680</v>
      </c>
      <c r="L75" s="1"/>
      <c r="M75" s="1"/>
      <c r="N75" s="1">
        <v>7500</v>
      </c>
      <c r="O75" s="1">
        <v>11550</v>
      </c>
      <c r="P75" s="1">
        <v>98350</v>
      </c>
      <c r="Q75" s="1">
        <v>109900</v>
      </c>
      <c r="R75" s="1"/>
      <c r="S75" s="1"/>
      <c r="T75" s="1">
        <v>0</v>
      </c>
      <c r="U75" s="1">
        <v>18220</v>
      </c>
      <c r="V75" s="1">
        <v>-7500</v>
      </c>
      <c r="W75"/>
    </row>
    <row r="76" spans="1:24">
      <c r="A76" t="s">
        <v>151</v>
      </c>
      <c r="B76" t="s">
        <v>152</v>
      </c>
      <c r="C76" s="1">
        <v>2026</v>
      </c>
      <c r="D76" t="s">
        <v>153</v>
      </c>
      <c r="E76" t="s">
        <v>18</v>
      </c>
      <c r="F76" t="s">
        <v>40</v>
      </c>
      <c r="I76" s="1">
        <v>15870</v>
      </c>
      <c r="J76" s="1">
        <v>6900</v>
      </c>
      <c r="K76" s="1">
        <v>22770</v>
      </c>
      <c r="L76" s="1"/>
      <c r="M76" s="1"/>
      <c r="N76" s="1">
        <v>7500</v>
      </c>
      <c r="O76" s="1">
        <v>52500</v>
      </c>
      <c r="P76" s="1">
        <v>37320</v>
      </c>
      <c r="Q76" s="1">
        <v>89820</v>
      </c>
      <c r="R76" s="1"/>
      <c r="S76" s="1"/>
      <c r="T76" s="1">
        <v>0</v>
      </c>
      <c r="U76" s="1">
        <v>67050</v>
      </c>
      <c r="V76" s="1">
        <v>-7500</v>
      </c>
      <c r="W76"/>
    </row>
    <row r="77" spans="1:24">
      <c r="A77" t="s">
        <v>58</v>
      </c>
      <c r="B77" t="s">
        <v>59</v>
      </c>
      <c r="C77" s="1">
        <v>2026</v>
      </c>
      <c r="D77" t="s">
        <v>60</v>
      </c>
      <c r="E77" t="s">
        <v>18</v>
      </c>
      <c r="F77" t="s">
        <v>40</v>
      </c>
      <c r="I77" s="1">
        <v>3130</v>
      </c>
      <c r="J77" s="1">
        <v>20710</v>
      </c>
      <c r="K77" s="1">
        <v>23840</v>
      </c>
      <c r="L77" s="1"/>
      <c r="M77" s="1"/>
      <c r="N77" s="1">
        <v>7500</v>
      </c>
      <c r="O77" s="1">
        <v>7820</v>
      </c>
      <c r="P77" s="1">
        <v>21530</v>
      </c>
      <c r="Q77" s="1">
        <v>29350</v>
      </c>
      <c r="R77" s="1"/>
      <c r="S77" s="1"/>
      <c r="T77" s="1">
        <v>0</v>
      </c>
      <c r="U77" s="1">
        <v>5510</v>
      </c>
      <c r="V77" s="1">
        <v>-7500</v>
      </c>
      <c r="W77"/>
    </row>
    <row r="78" spans="1:24">
      <c r="A78" t="s">
        <v>124</v>
      </c>
      <c r="B78" t="s">
        <v>125</v>
      </c>
      <c r="C78" s="1">
        <v>2026</v>
      </c>
      <c r="D78" t="s">
        <v>126</v>
      </c>
      <c r="E78" t="s">
        <v>18</v>
      </c>
      <c r="F78" t="s">
        <v>40</v>
      </c>
      <c r="I78" s="1">
        <v>1460</v>
      </c>
      <c r="J78" s="1">
        <v>10320</v>
      </c>
      <c r="K78" s="1">
        <v>11780</v>
      </c>
      <c r="L78" s="1"/>
      <c r="M78" s="1"/>
      <c r="N78" s="1">
        <v>7500</v>
      </c>
      <c r="O78" s="1">
        <v>4390</v>
      </c>
      <c r="P78" s="1">
        <v>19330</v>
      </c>
      <c r="Q78" s="1">
        <v>23720</v>
      </c>
      <c r="R78" s="1"/>
      <c r="S78" s="1"/>
      <c r="T78" s="1">
        <v>0</v>
      </c>
      <c r="U78" s="1">
        <v>11940</v>
      </c>
      <c r="V78" s="1">
        <v>-7500</v>
      </c>
      <c r="W78"/>
    </row>
    <row r="79" spans="1:24">
      <c r="A79" t="s">
        <v>154</v>
      </c>
      <c r="B79" t="s">
        <v>155</v>
      </c>
      <c r="C79" s="1">
        <v>2026</v>
      </c>
      <c r="D79" t="s">
        <v>156</v>
      </c>
      <c r="E79" t="s">
        <v>18</v>
      </c>
      <c r="F79" t="s">
        <v>39</v>
      </c>
      <c r="I79" s="1">
        <v>2070</v>
      </c>
      <c r="J79" s="1">
        <v>5610</v>
      </c>
      <c r="K79" s="1">
        <v>7680</v>
      </c>
      <c r="L79" s="1"/>
      <c r="M79" s="1"/>
      <c r="N79" s="1">
        <v>7500</v>
      </c>
      <c r="O79" s="1">
        <v>6210</v>
      </c>
      <c r="P79" s="1">
        <v>10680</v>
      </c>
      <c r="Q79" s="1">
        <v>16890</v>
      </c>
      <c r="R79" s="1"/>
      <c r="S79" s="1"/>
      <c r="T79" s="1">
        <v>0</v>
      </c>
      <c r="U79" s="1">
        <v>9210</v>
      </c>
      <c r="V79" s="1">
        <v>-7500</v>
      </c>
      <c r="W79"/>
    </row>
    <row r="80" spans="1:24">
      <c r="A80" t="s">
        <v>157</v>
      </c>
      <c r="B80" t="s">
        <v>158</v>
      </c>
      <c r="C80" s="1">
        <v>2026</v>
      </c>
      <c r="D80" t="s">
        <v>159</v>
      </c>
      <c r="E80" t="s">
        <v>18</v>
      </c>
      <c r="F80" t="s">
        <v>39</v>
      </c>
      <c r="I80" s="1">
        <v>4400</v>
      </c>
      <c r="J80" s="1">
        <v>6900</v>
      </c>
      <c r="K80" s="1">
        <v>11300</v>
      </c>
      <c r="L80" s="1"/>
      <c r="M80" s="1"/>
      <c r="N80" s="1">
        <v>3750</v>
      </c>
      <c r="O80" s="1">
        <v>5720</v>
      </c>
      <c r="P80" s="1">
        <v>9720</v>
      </c>
      <c r="Q80" s="1">
        <v>15440</v>
      </c>
      <c r="R80" s="1"/>
      <c r="S80" s="1"/>
      <c r="T80" s="1">
        <v>0</v>
      </c>
      <c r="U80" s="1">
        <v>4140</v>
      </c>
      <c r="V80" s="1">
        <v>-3750</v>
      </c>
      <c r="W80"/>
    </row>
    <row r="81" spans="1:23">
      <c r="A81" t="s">
        <v>118</v>
      </c>
      <c r="B81" t="s">
        <v>119</v>
      </c>
      <c r="C81" s="1">
        <v>2026</v>
      </c>
      <c r="D81" t="s">
        <v>120</v>
      </c>
      <c r="E81" t="s">
        <v>18</v>
      </c>
      <c r="F81" t="s">
        <v>40</v>
      </c>
      <c r="I81" s="1">
        <v>3050</v>
      </c>
      <c r="J81" s="1">
        <v>12490</v>
      </c>
      <c r="K81" s="1">
        <v>15540</v>
      </c>
      <c r="L81" s="1"/>
      <c r="M81" s="1"/>
      <c r="N81" s="1">
        <v>0</v>
      </c>
      <c r="O81" s="1">
        <v>3600</v>
      </c>
      <c r="P81" s="1">
        <v>17160</v>
      </c>
      <c r="Q81" s="1">
        <v>20760</v>
      </c>
      <c r="R81" s="1"/>
      <c r="S81" s="1"/>
      <c r="T81" s="1">
        <v>0</v>
      </c>
      <c r="U81" s="1">
        <v>5220</v>
      </c>
      <c r="V81" s="1">
        <v>0</v>
      </c>
      <c r="W81"/>
    </row>
    <row r="82" spans="1:23">
      <c r="A82" t="s">
        <v>115</v>
      </c>
      <c r="B82" t="s">
        <v>116</v>
      </c>
      <c r="C82" s="1">
        <v>2026</v>
      </c>
      <c r="D82" t="s">
        <v>117</v>
      </c>
      <c r="E82" t="s">
        <v>18</v>
      </c>
      <c r="F82" t="s">
        <v>40</v>
      </c>
      <c r="I82" s="1">
        <v>1100</v>
      </c>
      <c r="J82" s="1">
        <v>3900</v>
      </c>
      <c r="K82" s="1">
        <v>5000</v>
      </c>
      <c r="L82" s="1"/>
      <c r="M82" s="1"/>
      <c r="N82" s="1">
        <v>0</v>
      </c>
      <c r="O82" s="1">
        <v>1830</v>
      </c>
      <c r="P82" s="1">
        <v>8510</v>
      </c>
      <c r="Q82" s="1">
        <v>10340</v>
      </c>
      <c r="R82" s="1"/>
      <c r="S82" s="1"/>
      <c r="T82" s="1">
        <v>0</v>
      </c>
      <c r="U82" s="1">
        <v>5340</v>
      </c>
      <c r="V82" s="1">
        <v>0</v>
      </c>
      <c r="W82"/>
    </row>
    <row r="83" spans="1:23">
      <c r="A83" t="s">
        <v>160</v>
      </c>
      <c r="B83" t="s">
        <v>161</v>
      </c>
      <c r="C83" s="1">
        <v>2026</v>
      </c>
      <c r="D83" t="s">
        <v>162</v>
      </c>
      <c r="E83" t="s">
        <v>18</v>
      </c>
      <c r="F83" t="s">
        <v>40</v>
      </c>
      <c r="I83" s="1">
        <v>1190</v>
      </c>
      <c r="J83" s="1">
        <v>6950</v>
      </c>
      <c r="K83" s="1">
        <v>8140</v>
      </c>
      <c r="L83" s="1"/>
      <c r="M83" s="1"/>
      <c r="N83" s="1">
        <v>7500</v>
      </c>
      <c r="O83" s="1">
        <v>2780</v>
      </c>
      <c r="P83" s="1">
        <v>10380</v>
      </c>
      <c r="Q83" s="1">
        <v>13160</v>
      </c>
      <c r="R83" s="1"/>
      <c r="S83" s="1"/>
      <c r="T83" s="1">
        <v>0</v>
      </c>
      <c r="U83" s="1">
        <v>5020</v>
      </c>
      <c r="V83" s="1">
        <v>-7500</v>
      </c>
      <c r="W83"/>
    </row>
    <row r="84" spans="1:23">
      <c r="A84" t="s">
        <v>109</v>
      </c>
      <c r="B84" t="s">
        <v>110</v>
      </c>
      <c r="C84" s="1">
        <v>2026</v>
      </c>
      <c r="D84" t="s">
        <v>111</v>
      </c>
      <c r="E84" t="s">
        <v>18</v>
      </c>
      <c r="F84" t="s">
        <v>40</v>
      </c>
      <c r="I84" s="1">
        <v>590</v>
      </c>
      <c r="J84" s="1">
        <v>7910</v>
      </c>
      <c r="K84" s="1">
        <v>8500</v>
      </c>
      <c r="L84" s="1"/>
      <c r="M84" s="1"/>
      <c r="N84" s="1">
        <v>0</v>
      </c>
      <c r="O84" s="1">
        <v>1370</v>
      </c>
      <c r="P84" s="1">
        <v>10780</v>
      </c>
      <c r="Q84" s="1">
        <v>12150</v>
      </c>
      <c r="R84" s="1"/>
      <c r="S84" s="1"/>
      <c r="T84" s="1">
        <v>0</v>
      </c>
      <c r="U84" s="1">
        <v>3650</v>
      </c>
      <c r="V84" s="1">
        <v>0</v>
      </c>
      <c r="W84"/>
    </row>
    <row r="85" spans="1:23">
      <c r="A85" t="s">
        <v>163</v>
      </c>
      <c r="B85" t="s">
        <v>164</v>
      </c>
      <c r="C85" s="1">
        <v>2026</v>
      </c>
      <c r="D85" t="s">
        <v>165</v>
      </c>
      <c r="E85" t="s">
        <v>18</v>
      </c>
      <c r="F85" t="s">
        <v>40</v>
      </c>
      <c r="I85" s="1">
        <v>1810</v>
      </c>
      <c r="J85" s="1">
        <v>6290</v>
      </c>
      <c r="K85" s="1">
        <v>8100</v>
      </c>
      <c r="L85" s="1"/>
      <c r="M85" s="1"/>
      <c r="N85" s="1">
        <v>7500</v>
      </c>
      <c r="O85" s="1">
        <v>3020</v>
      </c>
      <c r="P85" s="1">
        <v>10290</v>
      </c>
      <c r="Q85" s="1">
        <v>13310</v>
      </c>
      <c r="R85" s="1"/>
      <c r="S85" s="1"/>
      <c r="T85" s="1">
        <v>0</v>
      </c>
      <c r="U85" s="1">
        <v>5210</v>
      </c>
      <c r="V85" s="1">
        <v>-7500</v>
      </c>
      <c r="W85"/>
    </row>
    <row r="86" spans="1:23">
      <c r="A86" t="s">
        <v>130</v>
      </c>
      <c r="B86" t="s">
        <v>131</v>
      </c>
      <c r="C86" s="1">
        <v>2026</v>
      </c>
      <c r="D86" t="s">
        <v>132</v>
      </c>
      <c r="E86" t="s">
        <v>18</v>
      </c>
      <c r="F86" t="s">
        <v>40</v>
      </c>
      <c r="I86" s="1">
        <v>460</v>
      </c>
      <c r="J86" s="1">
        <v>6540</v>
      </c>
      <c r="K86" s="1">
        <v>7000</v>
      </c>
      <c r="L86" s="1"/>
      <c r="M86" s="1"/>
      <c r="N86" s="1">
        <v>7000</v>
      </c>
      <c r="O86" s="1">
        <v>1850</v>
      </c>
      <c r="P86" s="1">
        <v>5970</v>
      </c>
      <c r="Q86" s="1">
        <v>7820</v>
      </c>
      <c r="R86" s="1"/>
      <c r="S86" s="1"/>
      <c r="T86" s="1">
        <v>0</v>
      </c>
      <c r="U86" s="1">
        <v>820</v>
      </c>
      <c r="V86" s="1">
        <v>-7000</v>
      </c>
      <c r="W86"/>
    </row>
    <row r="87" spans="1:23">
      <c r="A87" t="s">
        <v>166</v>
      </c>
      <c r="B87" t="s">
        <v>167</v>
      </c>
      <c r="C87" s="1">
        <v>2026</v>
      </c>
      <c r="D87" t="s">
        <v>168</v>
      </c>
      <c r="E87" t="s">
        <v>18</v>
      </c>
      <c r="F87" t="s">
        <v>40</v>
      </c>
      <c r="I87" s="1">
        <v>1300</v>
      </c>
      <c r="J87" s="1">
        <v>2370</v>
      </c>
      <c r="K87" s="1">
        <v>3670</v>
      </c>
      <c r="L87" s="1"/>
      <c r="M87" s="1"/>
      <c r="N87" s="1">
        <v>3670</v>
      </c>
      <c r="O87" s="1">
        <v>3460</v>
      </c>
      <c r="P87" s="1">
        <v>9360</v>
      </c>
      <c r="Q87" s="1">
        <v>12820</v>
      </c>
      <c r="R87" s="1"/>
      <c r="S87" s="1"/>
      <c r="T87" s="1">
        <v>0</v>
      </c>
      <c r="U87" s="1">
        <v>9150</v>
      </c>
      <c r="V87" s="1">
        <v>-3670</v>
      </c>
      <c r="W87"/>
    </row>
    <row r="88" spans="1:23">
      <c r="A88" t="s">
        <v>133</v>
      </c>
      <c r="B88" t="s">
        <v>134</v>
      </c>
      <c r="C88" s="1">
        <v>2026</v>
      </c>
      <c r="D88" t="s">
        <v>135</v>
      </c>
      <c r="E88" t="s">
        <v>18</v>
      </c>
      <c r="F88" t="s">
        <v>40</v>
      </c>
      <c r="I88" s="1">
        <v>1500</v>
      </c>
      <c r="J88" s="1">
        <v>5100</v>
      </c>
      <c r="K88" s="1">
        <v>6600</v>
      </c>
      <c r="L88" s="1"/>
      <c r="M88" s="1"/>
      <c r="N88" s="1">
        <v>3300</v>
      </c>
      <c r="O88" s="1">
        <v>2100</v>
      </c>
      <c r="P88" s="1">
        <v>5460</v>
      </c>
      <c r="Q88" s="1">
        <v>7560</v>
      </c>
      <c r="R88" s="1"/>
      <c r="S88" s="1"/>
      <c r="T88" s="1">
        <v>0</v>
      </c>
      <c r="U88" s="1">
        <v>960</v>
      </c>
      <c r="V88" s="1">
        <v>-3300</v>
      </c>
      <c r="W88"/>
    </row>
    <row r="89" spans="1:23">
      <c r="A89" t="s">
        <v>169</v>
      </c>
      <c r="B89" t="s">
        <v>170</v>
      </c>
      <c r="C89" s="1">
        <v>2026</v>
      </c>
      <c r="D89" t="s">
        <v>171</v>
      </c>
      <c r="E89" t="s">
        <v>18</v>
      </c>
      <c r="F89" t="s">
        <v>40</v>
      </c>
      <c r="I89" s="1">
        <v>750</v>
      </c>
      <c r="J89" s="1">
        <v>2970</v>
      </c>
      <c r="K89" s="1">
        <v>3720</v>
      </c>
      <c r="L89" s="1"/>
      <c r="M89" s="1"/>
      <c r="N89" s="1">
        <v>3720</v>
      </c>
      <c r="O89" s="1">
        <v>2010</v>
      </c>
      <c r="P89" s="1">
        <v>6640</v>
      </c>
      <c r="Q89" s="1">
        <v>8650</v>
      </c>
      <c r="R89" s="1"/>
      <c r="S89" s="1"/>
      <c r="T89" s="1">
        <v>0</v>
      </c>
      <c r="U89" s="1">
        <v>4930</v>
      </c>
      <c r="V89" s="1">
        <v>-3720</v>
      </c>
      <c r="W89"/>
    </row>
    <row r="90" spans="1:23">
      <c r="A90" t="s">
        <v>172</v>
      </c>
      <c r="B90" t="s">
        <v>173</v>
      </c>
      <c r="C90" s="1">
        <v>2026</v>
      </c>
      <c r="D90" t="s">
        <v>174</v>
      </c>
      <c r="E90" t="s">
        <v>18</v>
      </c>
      <c r="F90" t="s">
        <v>40</v>
      </c>
      <c r="I90" s="1">
        <v>2110</v>
      </c>
      <c r="J90" s="1">
        <v>20240</v>
      </c>
      <c r="K90" s="1">
        <v>22350</v>
      </c>
      <c r="L90" s="1"/>
      <c r="M90" s="1"/>
      <c r="N90" s="1">
        <v>0</v>
      </c>
      <c r="O90" s="1">
        <v>2110</v>
      </c>
      <c r="P90" s="1">
        <v>22960</v>
      </c>
      <c r="Q90" s="1">
        <v>25070</v>
      </c>
      <c r="R90" s="1"/>
      <c r="S90" s="1"/>
      <c r="T90" s="1">
        <v>0</v>
      </c>
      <c r="U90" s="1">
        <v>2720</v>
      </c>
      <c r="V90" s="1">
        <v>0</v>
      </c>
      <c r="W90"/>
    </row>
    <row r="91" spans="1:23">
      <c r="A91" t="s">
        <v>90</v>
      </c>
      <c r="B91" t="s">
        <v>91</v>
      </c>
      <c r="C91" s="1">
        <v>2026</v>
      </c>
      <c r="D91" t="s">
        <v>92</v>
      </c>
      <c r="E91" t="s">
        <v>18</v>
      </c>
      <c r="F91" t="s">
        <v>40</v>
      </c>
      <c r="I91" s="1">
        <v>1130</v>
      </c>
      <c r="J91" s="1">
        <v>5970</v>
      </c>
      <c r="K91" s="1">
        <v>7100</v>
      </c>
      <c r="L91" s="1"/>
      <c r="M91" s="1"/>
      <c r="N91" s="1">
        <v>0</v>
      </c>
      <c r="O91" s="1">
        <v>2250</v>
      </c>
      <c r="P91" s="1">
        <v>7290</v>
      </c>
      <c r="Q91" s="1">
        <v>9540</v>
      </c>
      <c r="R91" s="1"/>
      <c r="S91" s="1"/>
      <c r="T91" s="1">
        <v>0</v>
      </c>
      <c r="U91" s="1">
        <v>2440</v>
      </c>
      <c r="V91" s="1">
        <v>0</v>
      </c>
      <c r="W91"/>
    </row>
    <row r="92" spans="1:23">
      <c r="A92" t="s">
        <v>175</v>
      </c>
      <c r="B92" t="s">
        <v>176</v>
      </c>
      <c r="C92" s="1">
        <v>2026</v>
      </c>
      <c r="D92" t="s">
        <v>177</v>
      </c>
      <c r="E92" t="s">
        <v>18</v>
      </c>
      <c r="F92" t="s">
        <v>40</v>
      </c>
      <c r="I92" s="1">
        <v>2010</v>
      </c>
      <c r="J92" s="1">
        <v>4300</v>
      </c>
      <c r="K92" s="1">
        <v>6310</v>
      </c>
      <c r="L92" s="1"/>
      <c r="M92" s="1"/>
      <c r="N92" s="1">
        <v>6310</v>
      </c>
      <c r="O92" s="1">
        <v>4030</v>
      </c>
      <c r="P92" s="1">
        <v>11210</v>
      </c>
      <c r="Q92" s="1">
        <v>15240</v>
      </c>
      <c r="R92" s="1"/>
      <c r="S92" s="1"/>
      <c r="T92" s="1">
        <v>0</v>
      </c>
      <c r="U92" s="1">
        <v>8930</v>
      </c>
      <c r="V92" s="1">
        <v>-6310</v>
      </c>
      <c r="W92"/>
    </row>
    <row r="93" spans="1:23">
      <c r="A93" t="s">
        <v>178</v>
      </c>
      <c r="B93" t="s">
        <v>179</v>
      </c>
      <c r="C93" s="1">
        <v>2026</v>
      </c>
      <c r="D93" t="s">
        <v>180</v>
      </c>
      <c r="E93" t="s">
        <v>18</v>
      </c>
      <c r="F93" t="s">
        <v>40</v>
      </c>
      <c r="I93" s="1">
        <v>1990</v>
      </c>
      <c r="J93" s="1">
        <v>4350</v>
      </c>
      <c r="K93" s="1">
        <v>6340</v>
      </c>
      <c r="L93" s="1"/>
      <c r="M93" s="1"/>
      <c r="N93" s="1">
        <v>6340</v>
      </c>
      <c r="O93" s="1">
        <v>1990</v>
      </c>
      <c r="P93" s="1">
        <v>10610</v>
      </c>
      <c r="Q93" s="1">
        <v>12600</v>
      </c>
      <c r="R93" s="1"/>
      <c r="S93" s="1"/>
      <c r="T93" s="1">
        <v>0</v>
      </c>
      <c r="U93" s="1">
        <v>6260</v>
      </c>
      <c r="V93" s="1">
        <v>-6340</v>
      </c>
      <c r="W93"/>
    </row>
    <row r="94" spans="1:23">
      <c r="A94" t="s">
        <v>181</v>
      </c>
      <c r="B94" t="s">
        <v>182</v>
      </c>
      <c r="C94" s="1">
        <v>2026</v>
      </c>
      <c r="D94" t="s">
        <v>183</v>
      </c>
      <c r="E94" t="s">
        <v>18</v>
      </c>
      <c r="F94" t="s">
        <v>40</v>
      </c>
      <c r="I94" s="1">
        <v>1670</v>
      </c>
      <c r="J94" s="1">
        <v>4720</v>
      </c>
      <c r="K94" s="1">
        <v>6390</v>
      </c>
      <c r="L94" s="1"/>
      <c r="M94" s="1"/>
      <c r="N94" s="1">
        <v>6390</v>
      </c>
      <c r="O94" s="1">
        <v>1660</v>
      </c>
      <c r="P94" s="1">
        <v>14690</v>
      </c>
      <c r="Q94" s="1">
        <v>16350</v>
      </c>
      <c r="R94" s="1"/>
      <c r="S94" s="1"/>
      <c r="T94" s="1">
        <v>0</v>
      </c>
      <c r="U94" s="1">
        <v>9960</v>
      </c>
      <c r="V94" s="1">
        <v>-6390</v>
      </c>
      <c r="W94"/>
    </row>
    <row r="95" spans="1:23">
      <c r="A95" t="s">
        <v>184</v>
      </c>
      <c r="B95" t="s">
        <v>185</v>
      </c>
      <c r="C95" s="1">
        <v>2026</v>
      </c>
      <c r="D95" t="s">
        <v>186</v>
      </c>
      <c r="E95" t="s">
        <v>18</v>
      </c>
      <c r="F95" t="s">
        <v>40</v>
      </c>
      <c r="I95" s="1">
        <v>5280</v>
      </c>
      <c r="J95" s="1">
        <v>5720</v>
      </c>
      <c r="K95" s="1">
        <v>11000</v>
      </c>
      <c r="L95" s="1"/>
      <c r="M95" s="1"/>
      <c r="N95" s="1">
        <v>7500</v>
      </c>
      <c r="O95" s="1">
        <v>15840</v>
      </c>
      <c r="P95" s="1">
        <v>19590</v>
      </c>
      <c r="Q95" s="1">
        <v>35430</v>
      </c>
      <c r="R95" s="1"/>
      <c r="S95" s="1"/>
      <c r="T95" s="1">
        <v>0</v>
      </c>
      <c r="U95" s="1">
        <v>24430</v>
      </c>
      <c r="V95" s="1">
        <v>-7500</v>
      </c>
      <c r="W95"/>
    </row>
    <row r="96" spans="1:23">
      <c r="A96" t="s">
        <v>187</v>
      </c>
      <c r="B96" t="s">
        <v>188</v>
      </c>
      <c r="C96" s="1">
        <v>2026</v>
      </c>
      <c r="D96" t="s">
        <v>189</v>
      </c>
      <c r="E96" t="s">
        <v>18</v>
      </c>
      <c r="F96" t="s">
        <v>40</v>
      </c>
      <c r="I96" s="1">
        <v>5760</v>
      </c>
      <c r="J96" s="1">
        <v>4040</v>
      </c>
      <c r="K96" s="1">
        <v>9800</v>
      </c>
      <c r="L96" s="1"/>
      <c r="M96" s="1"/>
      <c r="N96" s="1">
        <v>7500</v>
      </c>
      <c r="O96" s="1">
        <v>17280</v>
      </c>
      <c r="P96" s="1">
        <v>14110</v>
      </c>
      <c r="Q96" s="1">
        <v>31390</v>
      </c>
      <c r="R96" s="1"/>
      <c r="S96" s="1"/>
      <c r="T96" s="1">
        <v>0</v>
      </c>
      <c r="U96" s="1">
        <v>21590</v>
      </c>
      <c r="V96" s="1">
        <v>-7500</v>
      </c>
      <c r="W96"/>
    </row>
    <row r="97" spans="1:23">
      <c r="A97" t="s">
        <v>190</v>
      </c>
      <c r="B97" t="s">
        <v>191</v>
      </c>
      <c r="C97" s="1">
        <v>2026</v>
      </c>
      <c r="D97" t="s">
        <v>192</v>
      </c>
      <c r="E97" t="s">
        <v>18</v>
      </c>
      <c r="F97" t="s">
        <v>40</v>
      </c>
      <c r="I97" s="1">
        <v>1800</v>
      </c>
      <c r="J97" s="1">
        <v>8400</v>
      </c>
      <c r="K97" s="1">
        <v>10200</v>
      </c>
      <c r="L97" s="1"/>
      <c r="M97" s="1"/>
      <c r="N97" s="1">
        <v>7500</v>
      </c>
      <c r="O97" s="1">
        <v>27000</v>
      </c>
      <c r="P97" s="1">
        <v>51530</v>
      </c>
      <c r="Q97" s="1">
        <v>78530</v>
      </c>
      <c r="R97" s="1"/>
      <c r="S97" s="1"/>
      <c r="T97" s="1">
        <v>0</v>
      </c>
      <c r="U97" s="1">
        <v>68330</v>
      </c>
      <c r="V97" s="1">
        <v>-7500</v>
      </c>
      <c r="W97"/>
    </row>
    <row r="98" spans="1:23">
      <c r="A98" t="s">
        <v>193</v>
      </c>
      <c r="B98" t="s">
        <v>194</v>
      </c>
      <c r="C98" s="1">
        <v>2026</v>
      </c>
      <c r="D98" t="s">
        <v>195</v>
      </c>
      <c r="E98" t="s">
        <v>18</v>
      </c>
      <c r="F98" t="s">
        <v>40</v>
      </c>
      <c r="I98" s="1">
        <v>1050</v>
      </c>
      <c r="J98" s="1">
        <v>7420</v>
      </c>
      <c r="K98" s="1">
        <v>8470</v>
      </c>
      <c r="L98" s="1"/>
      <c r="M98" s="1"/>
      <c r="N98" s="1">
        <v>7500</v>
      </c>
      <c r="O98" s="1">
        <v>20250</v>
      </c>
      <c r="P98" s="1">
        <v>12090</v>
      </c>
      <c r="Q98" s="1">
        <v>32340</v>
      </c>
      <c r="R98" s="1"/>
      <c r="S98" s="1"/>
      <c r="T98" s="1">
        <v>0</v>
      </c>
      <c r="U98" s="1">
        <v>23870</v>
      </c>
      <c r="V98" s="1">
        <v>-7500</v>
      </c>
      <c r="W98"/>
    </row>
    <row r="99" spans="1:23">
      <c r="A99" t="s">
        <v>196</v>
      </c>
      <c r="B99" t="s">
        <v>197</v>
      </c>
      <c r="C99" s="1">
        <v>2026</v>
      </c>
      <c r="D99" t="s">
        <v>198</v>
      </c>
      <c r="E99" t="s">
        <v>18</v>
      </c>
      <c r="F99" t="s">
        <v>39</v>
      </c>
      <c r="I99" s="1">
        <v>16200</v>
      </c>
      <c r="J99" s="1">
        <v>23620</v>
      </c>
      <c r="K99" s="1">
        <v>39820</v>
      </c>
      <c r="L99" s="1"/>
      <c r="M99" s="1"/>
      <c r="N99" s="1">
        <v>7500</v>
      </c>
      <c r="O99" s="1">
        <v>21600</v>
      </c>
      <c r="P99" s="1">
        <v>33670</v>
      </c>
      <c r="Q99" s="1">
        <v>55270</v>
      </c>
      <c r="R99" s="1"/>
      <c r="S99" s="1"/>
      <c r="T99" s="1">
        <v>0</v>
      </c>
      <c r="U99" s="1">
        <v>15450</v>
      </c>
      <c r="V99" s="1">
        <v>-7500</v>
      </c>
      <c r="W99"/>
    </row>
    <row r="100" spans="1:23">
      <c r="A100" t="s">
        <v>199</v>
      </c>
      <c r="B100" t="s">
        <v>200</v>
      </c>
      <c r="C100" s="1">
        <v>2026</v>
      </c>
      <c r="D100" t="s">
        <v>201</v>
      </c>
      <c r="E100" t="s">
        <v>18</v>
      </c>
      <c r="F100" t="s">
        <v>40</v>
      </c>
      <c r="I100" s="1">
        <v>5640</v>
      </c>
      <c r="J100" s="1">
        <v>4240</v>
      </c>
      <c r="K100" s="1">
        <v>9880</v>
      </c>
      <c r="L100" s="1"/>
      <c r="M100" s="1"/>
      <c r="N100" s="1">
        <v>7500</v>
      </c>
      <c r="O100" s="1">
        <v>14100</v>
      </c>
      <c r="P100" s="1">
        <v>4580</v>
      </c>
      <c r="Q100" s="1">
        <v>18680</v>
      </c>
      <c r="R100" s="1"/>
      <c r="S100" s="1"/>
      <c r="T100" s="1">
        <v>0</v>
      </c>
      <c r="U100" s="1">
        <v>8800</v>
      </c>
      <c r="V100" s="1">
        <v>-7500</v>
      </c>
      <c r="W100"/>
    </row>
    <row r="101" spans="1:23">
      <c r="A101" t="s">
        <v>82</v>
      </c>
      <c r="B101" t="s">
        <v>83</v>
      </c>
      <c r="C101" s="1">
        <v>2026</v>
      </c>
      <c r="D101" t="s">
        <v>84</v>
      </c>
      <c r="E101" t="s">
        <v>18</v>
      </c>
      <c r="F101" t="s">
        <v>39</v>
      </c>
      <c r="I101" s="1">
        <v>790</v>
      </c>
      <c r="J101" s="1">
        <v>7710</v>
      </c>
      <c r="K101" s="1">
        <v>8500</v>
      </c>
      <c r="L101" s="1"/>
      <c r="M101" s="1"/>
      <c r="N101" s="1">
        <v>7500</v>
      </c>
      <c r="O101" s="1">
        <v>950</v>
      </c>
      <c r="P101" s="1">
        <v>16050</v>
      </c>
      <c r="Q101" s="1">
        <v>17000</v>
      </c>
      <c r="R101" s="1"/>
      <c r="S101" s="1"/>
      <c r="T101" s="1">
        <v>0</v>
      </c>
      <c r="U101" s="1">
        <v>8500</v>
      </c>
      <c r="V101" s="1">
        <v>-7500</v>
      </c>
      <c r="W101"/>
    </row>
    <row r="102" spans="1:23">
      <c r="A102" t="s">
        <v>202</v>
      </c>
      <c r="B102" t="s">
        <v>203</v>
      </c>
      <c r="C102" s="1">
        <v>2026</v>
      </c>
      <c r="D102" t="s">
        <v>204</v>
      </c>
      <c r="E102" t="s">
        <v>18</v>
      </c>
      <c r="F102" t="s">
        <v>205</v>
      </c>
      <c r="I102" s="1">
        <v>5450</v>
      </c>
      <c r="J102" s="1">
        <v>31010</v>
      </c>
      <c r="K102" s="1">
        <v>36460</v>
      </c>
      <c r="L102" s="1"/>
      <c r="M102" s="1"/>
      <c r="N102" s="1">
        <v>7500</v>
      </c>
      <c r="O102" s="1">
        <v>6530</v>
      </c>
      <c r="P102" s="1">
        <v>41950</v>
      </c>
      <c r="Q102" s="1">
        <v>48480</v>
      </c>
      <c r="R102" s="1"/>
      <c r="S102" s="1"/>
      <c r="T102" s="1">
        <v>0</v>
      </c>
      <c r="U102" s="1">
        <v>12020</v>
      </c>
      <c r="V102" s="1">
        <v>-7500</v>
      </c>
      <c r="W102"/>
    </row>
    <row r="103" spans="1:23">
      <c r="A103" t="s">
        <v>206</v>
      </c>
      <c r="B103" t="s">
        <v>207</v>
      </c>
      <c r="C103" s="1">
        <v>2026</v>
      </c>
      <c r="D103" t="s">
        <v>208</v>
      </c>
      <c r="E103" t="s">
        <v>18</v>
      </c>
      <c r="F103" t="s">
        <v>40</v>
      </c>
      <c r="I103" s="1">
        <v>10200</v>
      </c>
      <c r="J103" s="1">
        <v>27040</v>
      </c>
      <c r="K103" s="1">
        <v>37240</v>
      </c>
      <c r="L103" s="1"/>
      <c r="M103" s="1"/>
      <c r="N103" s="1">
        <v>7500</v>
      </c>
      <c r="O103" s="1">
        <v>18000</v>
      </c>
      <c r="P103" s="1">
        <v>25240</v>
      </c>
      <c r="Q103" s="1">
        <v>43240</v>
      </c>
      <c r="R103" s="1"/>
      <c r="S103" s="1"/>
      <c r="T103" s="1">
        <v>0</v>
      </c>
      <c r="U103" s="1">
        <v>6000</v>
      </c>
      <c r="V103" s="1">
        <v>-7500</v>
      </c>
      <c r="W103"/>
    </row>
    <row r="104" spans="1:23">
      <c r="A104" t="s">
        <v>209</v>
      </c>
      <c r="B104" t="s">
        <v>210</v>
      </c>
      <c r="C104" s="1">
        <v>2026</v>
      </c>
      <c r="D104" t="s">
        <v>211</v>
      </c>
      <c r="E104" t="s">
        <v>18</v>
      </c>
      <c r="F104" t="s">
        <v>39</v>
      </c>
      <c r="I104" s="1">
        <v>2020</v>
      </c>
      <c r="J104" s="1">
        <v>2650</v>
      </c>
      <c r="K104" s="1">
        <v>4670</v>
      </c>
      <c r="L104" s="1"/>
      <c r="M104" s="1"/>
      <c r="N104" s="1">
        <v>4670</v>
      </c>
      <c r="O104" s="1">
        <v>8610</v>
      </c>
      <c r="P104" s="1">
        <v>27340</v>
      </c>
      <c r="Q104" s="1">
        <v>35950</v>
      </c>
      <c r="R104" s="1"/>
      <c r="S104" s="1"/>
      <c r="T104" s="1">
        <v>0</v>
      </c>
      <c r="U104" s="1">
        <v>31280</v>
      </c>
      <c r="V104" s="1">
        <v>-4670</v>
      </c>
      <c r="W104"/>
    </row>
    <row r="105" spans="1:23">
      <c r="A105" t="s">
        <v>212</v>
      </c>
      <c r="B105" t="s">
        <v>213</v>
      </c>
      <c r="C105" s="1">
        <v>2026</v>
      </c>
      <c r="D105" t="s">
        <v>214</v>
      </c>
      <c r="E105" t="s">
        <v>18</v>
      </c>
      <c r="F105" t="s">
        <v>40</v>
      </c>
      <c r="I105" s="1">
        <v>870</v>
      </c>
      <c r="J105" s="1">
        <v>1600</v>
      </c>
      <c r="K105" s="1">
        <v>2470</v>
      </c>
      <c r="L105" s="1"/>
      <c r="M105" s="1"/>
      <c r="N105" s="1">
        <v>2470</v>
      </c>
      <c r="O105" s="1">
        <v>5240</v>
      </c>
      <c r="P105" s="1">
        <v>13100</v>
      </c>
      <c r="Q105" s="1">
        <v>18340</v>
      </c>
      <c r="R105" s="1"/>
      <c r="S105" s="1"/>
      <c r="T105" s="1">
        <v>0</v>
      </c>
      <c r="U105" s="1">
        <v>15870</v>
      </c>
      <c r="V105" s="1">
        <v>-2470</v>
      </c>
      <c r="W105"/>
    </row>
    <row r="106" spans="1:23">
      <c r="A106" t="s">
        <v>215</v>
      </c>
      <c r="B106" t="s">
        <v>216</v>
      </c>
      <c r="C106" s="1">
        <v>2026</v>
      </c>
      <c r="D106" t="s">
        <v>217</v>
      </c>
      <c r="E106" t="s">
        <v>18</v>
      </c>
      <c r="F106" t="s">
        <v>39</v>
      </c>
      <c r="I106" s="1">
        <v>1420</v>
      </c>
      <c r="J106" s="1">
        <v>2000</v>
      </c>
      <c r="K106" s="1">
        <v>3420</v>
      </c>
      <c r="L106" s="1"/>
      <c r="M106" s="1"/>
      <c r="N106" s="1">
        <v>3420</v>
      </c>
      <c r="O106" s="1">
        <v>6080</v>
      </c>
      <c r="P106" s="1">
        <v>18250</v>
      </c>
      <c r="Q106" s="1">
        <v>24330</v>
      </c>
      <c r="R106" s="1"/>
      <c r="S106" s="1"/>
      <c r="T106" s="1">
        <v>0</v>
      </c>
      <c r="U106" s="1">
        <v>20910</v>
      </c>
      <c r="V106" s="1">
        <v>-3420</v>
      </c>
      <c r="W106"/>
    </row>
    <row r="107" spans="1:23">
      <c r="A107" t="s">
        <v>218</v>
      </c>
      <c r="B107" t="s">
        <v>219</v>
      </c>
      <c r="C107" s="1">
        <v>2026</v>
      </c>
      <c r="D107" t="s">
        <v>220</v>
      </c>
      <c r="E107" t="s">
        <v>18</v>
      </c>
      <c r="F107" t="s">
        <v>40</v>
      </c>
      <c r="I107" s="1">
        <v>28350</v>
      </c>
      <c r="J107" s="1">
        <v>108640</v>
      </c>
      <c r="K107" s="1">
        <v>136990</v>
      </c>
      <c r="L107" s="1"/>
      <c r="M107" s="1"/>
      <c r="N107" s="1">
        <v>7500</v>
      </c>
      <c r="O107" s="1">
        <v>28350</v>
      </c>
      <c r="P107" s="1">
        <v>103160</v>
      </c>
      <c r="Q107" s="1">
        <v>131510</v>
      </c>
      <c r="R107" s="1"/>
      <c r="S107" s="1"/>
      <c r="T107" s="1">
        <v>0</v>
      </c>
      <c r="U107" s="1">
        <v>-5480</v>
      </c>
      <c r="V107" s="1">
        <v>-7500</v>
      </c>
      <c r="W107"/>
    </row>
    <row r="108" spans="1:23">
      <c r="A108" t="s">
        <v>221</v>
      </c>
      <c r="B108" t="s">
        <v>222</v>
      </c>
      <c r="C108" s="1">
        <v>2026</v>
      </c>
      <c r="D108" t="s">
        <v>223</v>
      </c>
      <c r="E108" t="s">
        <v>18</v>
      </c>
      <c r="F108" t="s">
        <v>40</v>
      </c>
      <c r="I108" s="1">
        <v>8880</v>
      </c>
      <c r="J108" s="1">
        <v>25650</v>
      </c>
      <c r="K108" s="1">
        <v>34530</v>
      </c>
      <c r="L108" s="1"/>
      <c r="M108" s="1"/>
      <c r="N108" s="1">
        <v>7500</v>
      </c>
      <c r="O108" s="1">
        <v>19980</v>
      </c>
      <c r="P108" s="1">
        <v>42380</v>
      </c>
      <c r="Q108" s="1">
        <v>62360</v>
      </c>
      <c r="R108" s="1"/>
      <c r="S108" s="1"/>
      <c r="T108" s="1">
        <v>0</v>
      </c>
      <c r="U108" s="1">
        <v>27830</v>
      </c>
      <c r="V108" s="1">
        <v>-7500</v>
      </c>
      <c r="W108"/>
    </row>
    <row r="109" spans="1:23">
      <c r="A109" t="s">
        <v>224</v>
      </c>
      <c r="B109" t="s">
        <v>225</v>
      </c>
      <c r="C109" s="1">
        <v>2026</v>
      </c>
      <c r="D109" t="s">
        <v>226</v>
      </c>
      <c r="E109" t="s">
        <v>18</v>
      </c>
      <c r="F109" t="s">
        <v>39</v>
      </c>
      <c r="I109" s="1">
        <v>2800</v>
      </c>
      <c r="J109" s="1">
        <v>6170</v>
      </c>
      <c r="K109" s="1">
        <v>8970</v>
      </c>
      <c r="L109" s="1"/>
      <c r="M109" s="1"/>
      <c r="N109" s="1">
        <v>7500</v>
      </c>
      <c r="O109" s="1">
        <v>25160</v>
      </c>
      <c r="P109" s="1">
        <v>22270</v>
      </c>
      <c r="Q109" s="1">
        <v>47430</v>
      </c>
      <c r="R109" s="1"/>
      <c r="S109" s="1"/>
      <c r="T109" s="1">
        <v>1250</v>
      </c>
      <c r="U109" s="1">
        <v>38460</v>
      </c>
      <c r="V109" s="1">
        <v>-6250</v>
      </c>
      <c r="W109"/>
    </row>
    <row r="110" spans="1:23">
      <c r="A110" t="s">
        <v>55</v>
      </c>
      <c r="B110" t="s">
        <v>56</v>
      </c>
      <c r="C110" s="1">
        <v>2026</v>
      </c>
      <c r="D110" t="s">
        <v>57</v>
      </c>
      <c r="E110" t="s">
        <v>18</v>
      </c>
      <c r="F110" t="s">
        <v>40</v>
      </c>
      <c r="I110" s="1">
        <v>1630</v>
      </c>
      <c r="J110" s="1">
        <v>3750</v>
      </c>
      <c r="K110" s="1">
        <v>5380</v>
      </c>
      <c r="L110" s="1"/>
      <c r="M110" s="1"/>
      <c r="N110" s="1">
        <v>5380</v>
      </c>
      <c r="O110" s="1">
        <v>8160</v>
      </c>
      <c r="P110" s="1">
        <v>25400</v>
      </c>
      <c r="Q110" s="1">
        <v>33560</v>
      </c>
      <c r="R110" s="1"/>
      <c r="S110" s="1"/>
      <c r="T110" s="1">
        <v>0</v>
      </c>
      <c r="U110" s="1">
        <v>28180</v>
      </c>
      <c r="V110" s="1">
        <v>-5380</v>
      </c>
      <c r="W110"/>
    </row>
    <row r="111" spans="1:23">
      <c r="A111" t="s">
        <v>227</v>
      </c>
      <c r="B111" t="s">
        <v>228</v>
      </c>
      <c r="C111" s="1">
        <v>2026</v>
      </c>
      <c r="D111" t="s">
        <v>229</v>
      </c>
      <c r="E111" t="s">
        <v>18</v>
      </c>
      <c r="F111" t="s">
        <v>40</v>
      </c>
      <c r="I111" s="1">
        <v>10800</v>
      </c>
      <c r="J111" s="1">
        <v>22720</v>
      </c>
      <c r="K111" s="1">
        <v>33520</v>
      </c>
      <c r="L111" s="1"/>
      <c r="M111" s="1"/>
      <c r="N111" s="1">
        <v>7500</v>
      </c>
      <c r="O111" s="1">
        <v>14400</v>
      </c>
      <c r="P111" s="1">
        <v>36300</v>
      </c>
      <c r="Q111" s="1">
        <v>50700</v>
      </c>
      <c r="R111" s="1"/>
      <c r="S111" s="1"/>
      <c r="T111" s="1">
        <v>0</v>
      </c>
      <c r="U111" s="1">
        <v>17180</v>
      </c>
      <c r="V111" s="1">
        <v>-7500</v>
      </c>
      <c r="W111"/>
    </row>
    <row r="112" spans="1:23">
      <c r="A112" t="s">
        <v>230</v>
      </c>
      <c r="B112" t="s">
        <v>231</v>
      </c>
      <c r="C112" s="1">
        <v>2026</v>
      </c>
      <c r="D112" t="s">
        <v>232</v>
      </c>
      <c r="E112" t="s">
        <v>18</v>
      </c>
      <c r="F112" t="s">
        <v>39</v>
      </c>
      <c r="I112" s="1">
        <v>1140</v>
      </c>
      <c r="J112" s="1">
        <v>4620</v>
      </c>
      <c r="K112" s="1">
        <v>5760</v>
      </c>
      <c r="L112" s="1"/>
      <c r="M112" s="1"/>
      <c r="N112" s="1">
        <v>5760</v>
      </c>
      <c r="O112" s="1">
        <v>11430</v>
      </c>
      <c r="P112" s="1">
        <v>23980</v>
      </c>
      <c r="Q112" s="1">
        <v>35410</v>
      </c>
      <c r="R112" s="1"/>
      <c r="S112" s="1"/>
      <c r="T112" s="1">
        <v>0</v>
      </c>
      <c r="U112" s="1">
        <v>29650</v>
      </c>
      <c r="V112" s="1">
        <v>-5760</v>
      </c>
      <c r="W112"/>
    </row>
    <row r="113" spans="1:23">
      <c r="A113" t="s">
        <v>233</v>
      </c>
      <c r="B113" t="s">
        <v>234</v>
      </c>
      <c r="C113" s="1">
        <v>2026</v>
      </c>
      <c r="D113" t="s">
        <v>235</v>
      </c>
      <c r="E113" t="s">
        <v>18</v>
      </c>
      <c r="F113" t="s">
        <v>39</v>
      </c>
      <c r="I113" s="1">
        <v>7200</v>
      </c>
      <c r="J113" s="1">
        <v>14590</v>
      </c>
      <c r="K113" s="1">
        <v>21790</v>
      </c>
      <c r="L113" s="1"/>
      <c r="M113" s="1"/>
      <c r="N113" s="1">
        <v>7500</v>
      </c>
      <c r="O113" s="1">
        <v>10800</v>
      </c>
      <c r="P113" s="1">
        <v>20850</v>
      </c>
      <c r="Q113" s="1">
        <v>31650</v>
      </c>
      <c r="R113" s="1"/>
      <c r="S113" s="1"/>
      <c r="T113" s="1">
        <v>0</v>
      </c>
      <c r="U113" s="1">
        <v>9860</v>
      </c>
      <c r="V113" s="1">
        <v>-7500</v>
      </c>
      <c r="W113"/>
    </row>
    <row r="114" spans="1:23">
      <c r="A114" t="s">
        <v>236</v>
      </c>
      <c r="B114" t="s">
        <v>237</v>
      </c>
      <c r="C114" s="1">
        <v>2026</v>
      </c>
      <c r="D114" t="s">
        <v>238</v>
      </c>
      <c r="E114" t="s">
        <v>18</v>
      </c>
      <c r="F114" t="s">
        <v>39</v>
      </c>
      <c r="I114" s="1">
        <v>960</v>
      </c>
      <c r="J114" s="1">
        <v>10420</v>
      </c>
      <c r="K114" s="1">
        <v>11380</v>
      </c>
      <c r="L114" s="1"/>
      <c r="M114" s="1"/>
      <c r="N114" s="1">
        <v>7500</v>
      </c>
      <c r="O114" s="1">
        <v>2570</v>
      </c>
      <c r="P114" s="1">
        <v>14110</v>
      </c>
      <c r="Q114" s="1">
        <v>16680</v>
      </c>
      <c r="R114" s="1"/>
      <c r="S114" s="1"/>
      <c r="T114" s="1">
        <v>0</v>
      </c>
      <c r="U114" s="1">
        <v>5300</v>
      </c>
      <c r="V114" s="1">
        <v>-7500</v>
      </c>
      <c r="W114"/>
    </row>
    <row r="115" spans="1:23">
      <c r="A115" t="s">
        <v>239</v>
      </c>
      <c r="B115" t="s">
        <v>240</v>
      </c>
      <c r="C115" s="1">
        <v>2026</v>
      </c>
      <c r="D115" t="s">
        <v>241</v>
      </c>
      <c r="E115" t="s">
        <v>18</v>
      </c>
      <c r="F115" t="s">
        <v>39</v>
      </c>
      <c r="I115" s="1">
        <v>780</v>
      </c>
      <c r="J115" s="1">
        <v>5770</v>
      </c>
      <c r="K115" s="1">
        <v>6550</v>
      </c>
      <c r="L115" s="1"/>
      <c r="M115" s="1"/>
      <c r="N115" s="1">
        <v>6550</v>
      </c>
      <c r="O115" s="1">
        <v>3900</v>
      </c>
      <c r="P115" s="1">
        <v>12130</v>
      </c>
      <c r="Q115" s="1">
        <v>16030</v>
      </c>
      <c r="R115" s="1"/>
      <c r="S115" s="1"/>
      <c r="T115" s="1">
        <v>0</v>
      </c>
      <c r="U115" s="1">
        <v>9480</v>
      </c>
      <c r="V115" s="1">
        <v>-6550</v>
      </c>
      <c r="W115"/>
    </row>
    <row r="116" spans="1:23">
      <c r="A116" t="s">
        <v>61</v>
      </c>
      <c r="B116" t="s">
        <v>62</v>
      </c>
      <c r="C116" s="1">
        <v>2026</v>
      </c>
      <c r="D116" t="s">
        <v>63</v>
      </c>
      <c r="E116" t="s">
        <v>18</v>
      </c>
      <c r="F116" t="s">
        <v>39</v>
      </c>
      <c r="I116" s="1">
        <v>2300</v>
      </c>
      <c r="J116" s="1">
        <v>9350</v>
      </c>
      <c r="K116" s="1">
        <v>11650</v>
      </c>
      <c r="L116" s="1"/>
      <c r="M116" s="1"/>
      <c r="N116" s="1">
        <v>7500</v>
      </c>
      <c r="O116" s="1">
        <v>3460</v>
      </c>
      <c r="P116" s="1">
        <v>17260</v>
      </c>
      <c r="Q116" s="1">
        <v>20720</v>
      </c>
      <c r="R116" s="1"/>
      <c r="S116" s="1"/>
      <c r="T116" s="1">
        <v>0</v>
      </c>
      <c r="U116" s="1">
        <v>9070</v>
      </c>
      <c r="V116" s="1">
        <v>-7500</v>
      </c>
      <c r="W116"/>
    </row>
    <row r="117" spans="1:23">
      <c r="A117" t="s">
        <v>136</v>
      </c>
      <c r="B117" t="s">
        <v>137</v>
      </c>
      <c r="C117" s="1">
        <v>2026</v>
      </c>
      <c r="D117" t="s">
        <v>138</v>
      </c>
      <c r="E117" t="s">
        <v>18</v>
      </c>
      <c r="F117" t="s">
        <v>40</v>
      </c>
      <c r="I117" s="1">
        <v>1690</v>
      </c>
      <c r="J117" s="1">
        <v>5810</v>
      </c>
      <c r="K117" s="1">
        <v>7500</v>
      </c>
      <c r="L117" s="1"/>
      <c r="M117" s="1"/>
      <c r="N117" s="1">
        <v>7500</v>
      </c>
      <c r="O117" s="1">
        <v>4320</v>
      </c>
      <c r="P117" s="1">
        <v>10250</v>
      </c>
      <c r="Q117" s="1">
        <v>14570</v>
      </c>
      <c r="R117" s="1"/>
      <c r="S117" s="1"/>
      <c r="T117" s="1">
        <v>0</v>
      </c>
      <c r="U117" s="1">
        <v>7070</v>
      </c>
      <c r="V117" s="1">
        <v>-7500</v>
      </c>
      <c r="W117"/>
    </row>
    <row r="118" spans="1:23">
      <c r="A118" t="s">
        <v>242</v>
      </c>
      <c r="B118" t="s">
        <v>243</v>
      </c>
      <c r="C118" s="1">
        <v>2026</v>
      </c>
      <c r="D118" t="s">
        <v>244</v>
      </c>
      <c r="E118" t="s">
        <v>18</v>
      </c>
      <c r="F118" t="s">
        <v>45</v>
      </c>
      <c r="I118" s="1">
        <v>2420</v>
      </c>
      <c r="J118" s="1">
        <v>68950</v>
      </c>
      <c r="K118" s="1">
        <v>71370</v>
      </c>
      <c r="L118" s="1"/>
      <c r="M118" s="1"/>
      <c r="N118" s="1">
        <v>7500</v>
      </c>
      <c r="O118" s="1">
        <v>2420</v>
      </c>
      <c r="P118" s="1">
        <v>81400</v>
      </c>
      <c r="Q118" s="1">
        <v>83820</v>
      </c>
      <c r="R118" s="1"/>
      <c r="S118" s="1"/>
      <c r="T118" s="1">
        <v>0</v>
      </c>
      <c r="U118" s="1">
        <v>12450</v>
      </c>
      <c r="V118" s="1">
        <v>-7500</v>
      </c>
      <c r="W118"/>
    </row>
    <row r="119" spans="1:23">
      <c r="A119" t="s">
        <v>67</v>
      </c>
      <c r="B119" t="s">
        <v>68</v>
      </c>
      <c r="C119" s="1">
        <v>2026</v>
      </c>
      <c r="D119" t="s">
        <v>69</v>
      </c>
      <c r="E119" t="s">
        <v>18</v>
      </c>
      <c r="F119" t="s">
        <v>40</v>
      </c>
      <c r="I119" s="1">
        <v>440</v>
      </c>
      <c r="J119" s="1">
        <v>2230</v>
      </c>
      <c r="K119" s="1">
        <v>2670</v>
      </c>
      <c r="L119" s="1"/>
      <c r="M119" s="1"/>
      <c r="N119" s="1">
        <v>2670</v>
      </c>
      <c r="O119" s="1">
        <v>2640</v>
      </c>
      <c r="P119" s="1">
        <v>9780</v>
      </c>
      <c r="Q119" s="1">
        <v>12420</v>
      </c>
      <c r="R119" s="1"/>
      <c r="S119" s="1"/>
      <c r="T119" s="1">
        <v>0</v>
      </c>
      <c r="U119" s="1">
        <v>9750</v>
      </c>
      <c r="V119" s="1">
        <v>-2670</v>
      </c>
      <c r="W119"/>
    </row>
    <row r="120" spans="1:23">
      <c r="A120" t="s">
        <v>245</v>
      </c>
      <c r="B120" t="s">
        <v>246</v>
      </c>
      <c r="C120" s="1">
        <v>2026</v>
      </c>
      <c r="D120" t="s">
        <v>247</v>
      </c>
      <c r="E120" t="s">
        <v>18</v>
      </c>
      <c r="F120" t="s">
        <v>40</v>
      </c>
      <c r="I120" s="1">
        <v>2020</v>
      </c>
      <c r="J120" s="1">
        <v>5480</v>
      </c>
      <c r="K120" s="1">
        <v>7500</v>
      </c>
      <c r="L120" s="1"/>
      <c r="M120" s="1"/>
      <c r="N120" s="1">
        <v>7500</v>
      </c>
      <c r="O120" s="1">
        <v>2460</v>
      </c>
      <c r="P120" s="1">
        <v>15450</v>
      </c>
      <c r="Q120" s="1">
        <v>17910</v>
      </c>
      <c r="R120" s="1"/>
      <c r="S120" s="1"/>
      <c r="T120" s="1">
        <v>0</v>
      </c>
      <c r="U120" s="1">
        <v>10410</v>
      </c>
      <c r="V120" s="1">
        <v>-7500</v>
      </c>
      <c r="W120"/>
    </row>
    <row r="121" spans="1:23">
      <c r="A121" t="s">
        <v>248</v>
      </c>
      <c r="B121" t="s">
        <v>249</v>
      </c>
      <c r="C121" s="1">
        <v>2026</v>
      </c>
      <c r="D121" t="s">
        <v>250</v>
      </c>
      <c r="E121" t="s">
        <v>18</v>
      </c>
      <c r="F121" t="s">
        <v>39</v>
      </c>
      <c r="I121" s="1">
        <v>460</v>
      </c>
      <c r="J121" s="1">
        <v>6990</v>
      </c>
      <c r="K121" s="1">
        <v>7450</v>
      </c>
      <c r="L121" s="1"/>
      <c r="M121" s="1"/>
      <c r="N121" s="1">
        <v>7450</v>
      </c>
      <c r="O121" s="1">
        <v>1600</v>
      </c>
      <c r="P121" s="1">
        <v>10100</v>
      </c>
      <c r="Q121" s="1">
        <v>11700</v>
      </c>
      <c r="R121" s="1"/>
      <c r="S121" s="1"/>
      <c r="T121" s="1">
        <v>7500</v>
      </c>
      <c r="U121" s="1">
        <v>4250</v>
      </c>
      <c r="V121" s="1">
        <v>50</v>
      </c>
      <c r="W121"/>
    </row>
    <row r="122" spans="1:23">
      <c r="A122" t="s">
        <v>251</v>
      </c>
      <c r="B122" t="s">
        <v>252</v>
      </c>
      <c r="C122" s="1">
        <v>2026</v>
      </c>
      <c r="D122" t="s">
        <v>253</v>
      </c>
      <c r="E122" t="s">
        <v>18</v>
      </c>
      <c r="F122" t="s">
        <v>40</v>
      </c>
      <c r="I122" s="1">
        <v>510</v>
      </c>
      <c r="J122" s="1">
        <v>3580</v>
      </c>
      <c r="K122" s="1">
        <v>4090</v>
      </c>
      <c r="L122" s="1"/>
      <c r="M122" s="1"/>
      <c r="N122" s="1">
        <v>4090</v>
      </c>
      <c r="O122" s="1">
        <v>990</v>
      </c>
      <c r="P122" s="1">
        <v>11000</v>
      </c>
      <c r="Q122" s="1">
        <v>11990</v>
      </c>
      <c r="R122" s="1"/>
      <c r="S122" s="1"/>
      <c r="T122" s="1">
        <v>0</v>
      </c>
      <c r="U122" s="1">
        <v>7900</v>
      </c>
      <c r="V122" s="1">
        <v>-4090</v>
      </c>
      <c r="W122"/>
    </row>
    <row r="123" spans="1:23">
      <c r="A123" t="s">
        <v>79</v>
      </c>
      <c r="B123" t="s">
        <v>80</v>
      </c>
      <c r="C123" s="1">
        <v>2026</v>
      </c>
      <c r="D123" t="s">
        <v>81</v>
      </c>
      <c r="E123" t="s">
        <v>18</v>
      </c>
      <c r="F123" t="s">
        <v>40</v>
      </c>
      <c r="I123" s="1">
        <v>1020</v>
      </c>
      <c r="J123" s="1">
        <v>5480</v>
      </c>
      <c r="K123" s="1">
        <v>6500</v>
      </c>
      <c r="L123" s="1"/>
      <c r="M123" s="1"/>
      <c r="N123" s="1">
        <v>6500</v>
      </c>
      <c r="O123" s="1">
        <v>1230</v>
      </c>
      <c r="P123" s="1">
        <v>20410</v>
      </c>
      <c r="Q123" s="1">
        <v>21640</v>
      </c>
      <c r="R123" s="1"/>
      <c r="S123" s="1"/>
      <c r="T123" s="1">
        <v>0</v>
      </c>
      <c r="U123" s="1">
        <v>15140</v>
      </c>
      <c r="V123" s="1">
        <v>-6500</v>
      </c>
      <c r="W123"/>
    </row>
    <row r="124" spans="1:23">
      <c r="A124" t="s">
        <v>254</v>
      </c>
      <c r="B124" t="s">
        <v>255</v>
      </c>
      <c r="C124" s="1">
        <v>2026</v>
      </c>
      <c r="D124" t="s">
        <v>256</v>
      </c>
      <c r="E124" t="s">
        <v>18</v>
      </c>
      <c r="F124" t="s">
        <v>40</v>
      </c>
      <c r="I124" s="1">
        <v>960</v>
      </c>
      <c r="J124" s="1">
        <v>4110</v>
      </c>
      <c r="K124" s="1">
        <v>5070</v>
      </c>
      <c r="L124" s="1"/>
      <c r="M124" s="1"/>
      <c r="N124" s="1">
        <v>5070</v>
      </c>
      <c r="O124" s="1">
        <v>5760</v>
      </c>
      <c r="P124" s="1">
        <v>18670</v>
      </c>
      <c r="Q124" s="1">
        <v>24430</v>
      </c>
      <c r="R124" s="1"/>
      <c r="S124" s="1"/>
      <c r="T124" s="1">
        <v>0</v>
      </c>
      <c r="U124" s="1">
        <v>19360</v>
      </c>
      <c r="V124" s="1">
        <v>-5070</v>
      </c>
      <c r="W124"/>
    </row>
    <row r="125" spans="1:23">
      <c r="A125" t="s">
        <v>257</v>
      </c>
      <c r="B125" t="s">
        <v>258</v>
      </c>
      <c r="C125" s="1">
        <v>2026</v>
      </c>
      <c r="D125" t="s">
        <v>259</v>
      </c>
      <c r="E125" t="s">
        <v>18</v>
      </c>
      <c r="F125" t="s">
        <v>40</v>
      </c>
      <c r="I125" s="1">
        <v>940</v>
      </c>
      <c r="J125" s="1">
        <v>4640</v>
      </c>
      <c r="K125" s="1">
        <v>5580</v>
      </c>
      <c r="L125" s="1"/>
      <c r="M125" s="1"/>
      <c r="N125" s="1">
        <v>5580</v>
      </c>
      <c r="O125" s="1">
        <v>3750</v>
      </c>
      <c r="P125" s="1">
        <v>19410</v>
      </c>
      <c r="Q125" s="1">
        <v>23160</v>
      </c>
      <c r="R125" s="1"/>
      <c r="S125" s="1"/>
      <c r="T125" s="1">
        <v>0</v>
      </c>
      <c r="U125" s="1">
        <v>17580</v>
      </c>
      <c r="V125" s="1">
        <v>-5580</v>
      </c>
      <c r="W125"/>
    </row>
    <row r="126" spans="1:23">
      <c r="A126" t="s">
        <v>260</v>
      </c>
      <c r="B126" t="s">
        <v>261</v>
      </c>
      <c r="C126" s="1">
        <v>2026</v>
      </c>
      <c r="D126" t="s">
        <v>262</v>
      </c>
      <c r="E126" t="s">
        <v>18</v>
      </c>
      <c r="F126" t="s">
        <v>40</v>
      </c>
      <c r="I126" s="1">
        <v>1960</v>
      </c>
      <c r="J126" s="1">
        <v>6340</v>
      </c>
      <c r="K126" s="1">
        <v>8300</v>
      </c>
      <c r="L126" s="1"/>
      <c r="M126" s="1"/>
      <c r="N126" s="1">
        <v>7500</v>
      </c>
      <c r="O126" s="1">
        <v>7000</v>
      </c>
      <c r="P126" s="1">
        <v>20380</v>
      </c>
      <c r="Q126" s="1">
        <v>27380</v>
      </c>
      <c r="R126" s="1"/>
      <c r="S126" s="1"/>
      <c r="T126" s="1">
        <v>0</v>
      </c>
      <c r="U126" s="1">
        <v>19080</v>
      </c>
      <c r="V126" s="1">
        <v>-7500</v>
      </c>
      <c r="W126"/>
    </row>
    <row r="127" spans="1:23">
      <c r="A127" t="s">
        <v>263</v>
      </c>
      <c r="B127" t="s">
        <v>264</v>
      </c>
      <c r="C127" s="1">
        <v>2026</v>
      </c>
      <c r="D127" t="s">
        <v>265</v>
      </c>
      <c r="E127" t="s">
        <v>18</v>
      </c>
      <c r="F127" t="s">
        <v>40</v>
      </c>
      <c r="I127" s="1">
        <v>990</v>
      </c>
      <c r="J127" s="1">
        <v>3410</v>
      </c>
      <c r="K127" s="1">
        <v>4400</v>
      </c>
      <c r="L127" s="1"/>
      <c r="M127" s="1"/>
      <c r="N127" s="1">
        <v>4400</v>
      </c>
      <c r="O127" s="1">
        <v>2700</v>
      </c>
      <c r="P127" s="1">
        <v>9960</v>
      </c>
      <c r="Q127" s="1">
        <v>12660</v>
      </c>
      <c r="R127" s="1"/>
      <c r="S127" s="1"/>
      <c r="T127" s="1">
        <v>0</v>
      </c>
      <c r="U127" s="1">
        <v>8260</v>
      </c>
      <c r="V127" s="1">
        <v>-4400</v>
      </c>
      <c r="W127"/>
    </row>
    <row r="128" spans="1:23">
      <c r="A128" t="s">
        <v>266</v>
      </c>
      <c r="B128" t="s">
        <v>267</v>
      </c>
      <c r="C128" s="1">
        <v>2026</v>
      </c>
      <c r="D128" t="s">
        <v>268</v>
      </c>
      <c r="E128" t="s">
        <v>18</v>
      </c>
      <c r="F128" t="s">
        <v>40</v>
      </c>
      <c r="I128" s="1">
        <v>1780</v>
      </c>
      <c r="J128" s="1">
        <v>7970</v>
      </c>
      <c r="K128" s="1">
        <v>9750</v>
      </c>
      <c r="L128" s="1"/>
      <c r="M128" s="1"/>
      <c r="N128" s="1">
        <v>7500</v>
      </c>
      <c r="O128" s="1">
        <v>4150</v>
      </c>
      <c r="P128" s="1">
        <v>9090</v>
      </c>
      <c r="Q128" s="1">
        <v>13240</v>
      </c>
      <c r="R128" s="1"/>
      <c r="S128" s="1"/>
      <c r="T128" s="1">
        <v>0</v>
      </c>
      <c r="U128" s="1">
        <v>3490</v>
      </c>
      <c r="V128" s="1">
        <v>-7500</v>
      </c>
      <c r="W128"/>
    </row>
    <row r="129" spans="1:23">
      <c r="A129" t="s">
        <v>269</v>
      </c>
      <c r="B129" t="s">
        <v>270</v>
      </c>
      <c r="C129" s="1">
        <v>2026</v>
      </c>
      <c r="D129" t="s">
        <v>271</v>
      </c>
      <c r="E129" t="s">
        <v>18</v>
      </c>
      <c r="F129" t="s">
        <v>40</v>
      </c>
      <c r="I129" s="1">
        <v>6750</v>
      </c>
      <c r="J129" s="1">
        <v>16660</v>
      </c>
      <c r="K129" s="1">
        <v>23410</v>
      </c>
      <c r="L129" s="1"/>
      <c r="M129" s="1"/>
      <c r="N129" s="1">
        <v>7500</v>
      </c>
      <c r="O129" s="1">
        <v>11250</v>
      </c>
      <c r="P129" s="1">
        <v>17340</v>
      </c>
      <c r="Q129" s="1">
        <v>28590</v>
      </c>
      <c r="R129" s="1"/>
      <c r="S129" s="1"/>
      <c r="T129" s="1">
        <v>0</v>
      </c>
      <c r="U129" s="1">
        <v>5180</v>
      </c>
      <c r="V129" s="1">
        <v>-7500</v>
      </c>
      <c r="W129"/>
    </row>
    <row r="130" spans="1:23">
      <c r="A130" t="s">
        <v>272</v>
      </c>
      <c r="B130" t="s">
        <v>273</v>
      </c>
      <c r="C130" s="1">
        <v>2026</v>
      </c>
      <c r="D130" t="s">
        <v>274</v>
      </c>
      <c r="E130" t="s">
        <v>18</v>
      </c>
      <c r="F130" t="s">
        <v>40</v>
      </c>
      <c r="I130" s="1">
        <v>6480</v>
      </c>
      <c r="J130" s="1">
        <v>11520</v>
      </c>
      <c r="K130" s="1">
        <v>18000</v>
      </c>
      <c r="L130" s="1"/>
      <c r="M130" s="1"/>
      <c r="N130" s="1">
        <v>7500</v>
      </c>
      <c r="O130" s="1">
        <v>16200</v>
      </c>
      <c r="P130" s="1">
        <v>35480</v>
      </c>
      <c r="Q130" s="1">
        <v>51680</v>
      </c>
      <c r="R130" s="1"/>
      <c r="S130" s="1"/>
      <c r="T130" s="1">
        <v>0</v>
      </c>
      <c r="U130" s="1">
        <v>33680</v>
      </c>
      <c r="V130" s="1">
        <v>-7500</v>
      </c>
      <c r="W130"/>
    </row>
    <row r="131" spans="1:23">
      <c r="A131" t="s">
        <v>103</v>
      </c>
      <c r="B131" t="s">
        <v>104</v>
      </c>
      <c r="C131" s="1">
        <v>2026</v>
      </c>
      <c r="D131" t="s">
        <v>105</v>
      </c>
      <c r="E131" t="s">
        <v>18</v>
      </c>
      <c r="F131" t="s">
        <v>40</v>
      </c>
      <c r="I131" s="1">
        <v>730</v>
      </c>
      <c r="J131" s="1">
        <v>4830</v>
      </c>
      <c r="K131" s="1">
        <v>5560</v>
      </c>
      <c r="L131" s="1"/>
      <c r="M131" s="1"/>
      <c r="N131" s="1">
        <v>5560</v>
      </c>
      <c r="O131" s="1">
        <v>1660</v>
      </c>
      <c r="P131" s="1">
        <v>13160</v>
      </c>
      <c r="Q131" s="1">
        <v>14820</v>
      </c>
      <c r="R131" s="1"/>
      <c r="S131" s="1"/>
      <c r="T131" s="1">
        <v>0</v>
      </c>
      <c r="U131" s="1">
        <v>9260</v>
      </c>
      <c r="V131" s="1">
        <v>-5560</v>
      </c>
      <c r="W131"/>
    </row>
    <row r="132" spans="1:23">
      <c r="A132" t="s">
        <v>275</v>
      </c>
      <c r="B132" t="s">
        <v>276</v>
      </c>
      <c r="C132" s="1">
        <v>2026</v>
      </c>
      <c r="D132" t="s">
        <v>277</v>
      </c>
      <c r="E132" t="s">
        <v>18</v>
      </c>
      <c r="F132" t="s">
        <v>39</v>
      </c>
      <c r="I132" s="1">
        <v>1620</v>
      </c>
      <c r="J132" s="1">
        <v>10960</v>
      </c>
      <c r="K132" s="1">
        <v>12580</v>
      </c>
      <c r="L132" s="1"/>
      <c r="M132" s="1"/>
      <c r="N132" s="1">
        <v>7500</v>
      </c>
      <c r="O132" s="1">
        <v>3240</v>
      </c>
      <c r="P132" s="1">
        <v>11910</v>
      </c>
      <c r="Q132" s="1">
        <v>15150</v>
      </c>
      <c r="R132" s="1"/>
      <c r="S132" s="1"/>
      <c r="T132" s="1">
        <v>0</v>
      </c>
      <c r="U132" s="1">
        <v>2570</v>
      </c>
      <c r="V132" s="1">
        <v>-7500</v>
      </c>
      <c r="W132"/>
    </row>
    <row r="133" spans="1:23">
      <c r="A133" t="s">
        <v>76</v>
      </c>
      <c r="B133" t="s">
        <v>77</v>
      </c>
      <c r="C133" s="1">
        <v>2026</v>
      </c>
      <c r="D133" t="s">
        <v>78</v>
      </c>
      <c r="E133" t="s">
        <v>18</v>
      </c>
      <c r="F133" t="s">
        <v>40</v>
      </c>
      <c r="I133" s="1">
        <v>630</v>
      </c>
      <c r="J133" s="1">
        <v>5870</v>
      </c>
      <c r="K133" s="1">
        <v>6500</v>
      </c>
      <c r="L133" s="1"/>
      <c r="M133" s="1"/>
      <c r="N133" s="1">
        <v>6500</v>
      </c>
      <c r="O133" s="1">
        <v>2160</v>
      </c>
      <c r="P133" s="1">
        <v>10750</v>
      </c>
      <c r="Q133" s="1">
        <v>12910</v>
      </c>
      <c r="R133" s="1"/>
      <c r="S133" s="1"/>
      <c r="T133" s="1">
        <v>0</v>
      </c>
      <c r="U133" s="1">
        <v>6410</v>
      </c>
      <c r="V133" s="1">
        <v>-6500</v>
      </c>
      <c r="W133"/>
    </row>
    <row r="134" spans="1:23">
      <c r="A134" t="s">
        <v>278</v>
      </c>
      <c r="B134" t="s">
        <v>279</v>
      </c>
      <c r="C134" s="1">
        <v>2026</v>
      </c>
      <c r="D134" t="s">
        <v>280</v>
      </c>
      <c r="E134" t="s">
        <v>18</v>
      </c>
      <c r="F134" t="s">
        <v>40</v>
      </c>
      <c r="I134" s="1">
        <v>1300</v>
      </c>
      <c r="J134" s="1">
        <v>3570</v>
      </c>
      <c r="K134" s="1">
        <v>4870</v>
      </c>
      <c r="L134" s="1"/>
      <c r="M134" s="1"/>
      <c r="N134" s="1">
        <v>4870</v>
      </c>
      <c r="O134" s="1">
        <v>5180</v>
      </c>
      <c r="P134" s="1">
        <v>13720</v>
      </c>
      <c r="Q134" s="1">
        <v>18900</v>
      </c>
      <c r="R134" s="1"/>
      <c r="S134" s="1"/>
      <c r="T134" s="1">
        <v>0</v>
      </c>
      <c r="U134" s="1">
        <v>14030</v>
      </c>
      <c r="V134" s="1">
        <v>-4870</v>
      </c>
      <c r="W134"/>
    </row>
    <row r="135" spans="1:23">
      <c r="A135" t="s">
        <v>281</v>
      </c>
      <c r="B135" t="s">
        <v>282</v>
      </c>
      <c r="C135" s="1">
        <v>2026</v>
      </c>
      <c r="D135" t="s">
        <v>283</v>
      </c>
      <c r="E135" t="s">
        <v>18</v>
      </c>
      <c r="F135" t="s">
        <v>40</v>
      </c>
      <c r="I135" s="1">
        <v>2680</v>
      </c>
      <c r="J135" s="1">
        <v>14290</v>
      </c>
      <c r="K135" s="1">
        <v>16970</v>
      </c>
      <c r="L135" s="1"/>
      <c r="M135" s="1"/>
      <c r="N135" s="1">
        <v>7500</v>
      </c>
      <c r="O135" s="1">
        <v>5950</v>
      </c>
      <c r="P135" s="1">
        <v>14780</v>
      </c>
      <c r="Q135" s="1">
        <v>20730</v>
      </c>
      <c r="R135" s="1"/>
      <c r="S135" s="1"/>
      <c r="T135" s="1">
        <v>0</v>
      </c>
      <c r="U135" s="1">
        <v>3760</v>
      </c>
      <c r="V135" s="1">
        <v>-7500</v>
      </c>
      <c r="W135"/>
    </row>
    <row r="136" spans="1:23">
      <c r="A136" t="s">
        <v>284</v>
      </c>
      <c r="B136" t="s">
        <v>285</v>
      </c>
      <c r="C136" s="1">
        <v>2026</v>
      </c>
      <c r="D136" t="s">
        <v>286</v>
      </c>
      <c r="E136" t="s">
        <v>18</v>
      </c>
      <c r="F136" t="s">
        <v>40</v>
      </c>
      <c r="I136" s="1">
        <v>8100</v>
      </c>
      <c r="J136" s="1">
        <v>19200</v>
      </c>
      <c r="K136" s="1">
        <v>27300</v>
      </c>
      <c r="L136" s="1"/>
      <c r="M136" s="1"/>
      <c r="N136" s="1">
        <v>7500</v>
      </c>
      <c r="O136" s="1">
        <v>10840</v>
      </c>
      <c r="P136" s="1">
        <v>27540</v>
      </c>
      <c r="Q136" s="1">
        <v>38380</v>
      </c>
      <c r="R136" s="1"/>
      <c r="S136" s="1"/>
      <c r="T136" s="1">
        <v>3750</v>
      </c>
      <c r="U136" s="1">
        <v>11080</v>
      </c>
      <c r="V136" s="1">
        <v>-3750</v>
      </c>
      <c r="W136"/>
    </row>
    <row r="137" spans="1:23">
      <c r="A137" t="s">
        <v>287</v>
      </c>
      <c r="B137" t="s">
        <v>288</v>
      </c>
      <c r="C137" s="1">
        <v>2026</v>
      </c>
      <c r="D137" t="s">
        <v>289</v>
      </c>
      <c r="E137" t="s">
        <v>18</v>
      </c>
      <c r="F137" t="s">
        <v>40</v>
      </c>
      <c r="I137" s="1">
        <v>2000</v>
      </c>
      <c r="J137" s="1">
        <v>4500</v>
      </c>
      <c r="K137" s="1">
        <v>6500</v>
      </c>
      <c r="L137" s="1"/>
      <c r="M137" s="1"/>
      <c r="N137" s="1">
        <v>6500</v>
      </c>
      <c r="O137" s="1">
        <v>6000</v>
      </c>
      <c r="P137" s="1">
        <v>15630</v>
      </c>
      <c r="Q137" s="1">
        <v>21630</v>
      </c>
      <c r="R137" s="1"/>
      <c r="S137" s="1"/>
      <c r="T137" s="1">
        <v>0</v>
      </c>
      <c r="U137" s="1">
        <v>15130</v>
      </c>
      <c r="V137" s="1">
        <v>-6500</v>
      </c>
      <c r="W137"/>
    </row>
    <row r="138" spans="1:23">
      <c r="A138" t="s">
        <v>290</v>
      </c>
      <c r="B138" t="s">
        <v>291</v>
      </c>
      <c r="C138" s="1">
        <v>2026</v>
      </c>
      <c r="D138" t="s">
        <v>292</v>
      </c>
      <c r="E138" t="s">
        <v>18</v>
      </c>
      <c r="F138" t="s">
        <v>40</v>
      </c>
      <c r="I138" s="1">
        <v>1310</v>
      </c>
      <c r="J138" s="1">
        <v>2950</v>
      </c>
      <c r="K138" s="1">
        <v>4260</v>
      </c>
      <c r="L138" s="1"/>
      <c r="M138" s="1"/>
      <c r="N138" s="1">
        <v>4260</v>
      </c>
      <c r="O138" s="1">
        <v>4580</v>
      </c>
      <c r="P138" s="1">
        <v>10570</v>
      </c>
      <c r="Q138" s="1">
        <v>15150</v>
      </c>
      <c r="R138" s="1"/>
      <c r="S138" s="1"/>
      <c r="T138" s="1">
        <v>0</v>
      </c>
      <c r="U138" s="1">
        <v>10890</v>
      </c>
      <c r="V138" s="1">
        <v>-4260</v>
      </c>
      <c r="W138"/>
    </row>
    <row r="139" spans="1:23">
      <c r="A139" t="s">
        <v>293</v>
      </c>
      <c r="B139" t="s">
        <v>294</v>
      </c>
      <c r="C139" s="1">
        <v>2026</v>
      </c>
      <c r="D139" t="s">
        <v>295</v>
      </c>
      <c r="E139" t="s">
        <v>18</v>
      </c>
      <c r="F139" t="s">
        <v>40</v>
      </c>
      <c r="I139" s="1">
        <v>3120</v>
      </c>
      <c r="J139" s="1">
        <v>27090</v>
      </c>
      <c r="K139" s="1">
        <v>30210</v>
      </c>
      <c r="L139" s="1"/>
      <c r="M139" s="1"/>
      <c r="N139" s="1">
        <v>7500</v>
      </c>
      <c r="O139" s="1">
        <v>5460</v>
      </c>
      <c r="P139" s="1">
        <v>24910</v>
      </c>
      <c r="Q139" s="1">
        <v>30370</v>
      </c>
      <c r="R139" s="1"/>
      <c r="S139" s="1"/>
      <c r="T139" s="1">
        <v>0</v>
      </c>
      <c r="U139" s="1">
        <v>160</v>
      </c>
      <c r="V139" s="1">
        <v>-7500</v>
      </c>
      <c r="W139"/>
    </row>
    <row r="140" spans="1:23">
      <c r="A140" t="s">
        <v>296</v>
      </c>
      <c r="B140" t="s">
        <v>297</v>
      </c>
      <c r="C140" s="1">
        <v>2026</v>
      </c>
      <c r="D140" t="s">
        <v>298</v>
      </c>
      <c r="E140" t="s">
        <v>18</v>
      </c>
      <c r="F140" t="s">
        <v>40</v>
      </c>
      <c r="I140" s="1">
        <v>1000</v>
      </c>
      <c r="J140" s="1">
        <v>6200</v>
      </c>
      <c r="K140" s="1">
        <v>7200</v>
      </c>
      <c r="L140" s="1"/>
      <c r="M140" s="1"/>
      <c r="N140" s="1">
        <v>7200</v>
      </c>
      <c r="O140" s="1">
        <v>2500</v>
      </c>
      <c r="P140" s="1">
        <v>13470</v>
      </c>
      <c r="Q140" s="1">
        <v>15970</v>
      </c>
      <c r="R140" s="1"/>
      <c r="S140" s="1"/>
      <c r="T140" s="1">
        <v>0</v>
      </c>
      <c r="U140" s="1">
        <v>8770</v>
      </c>
      <c r="V140" s="1">
        <v>-7200</v>
      </c>
      <c r="W140"/>
    </row>
    <row r="141" spans="1:23">
      <c r="A141" t="s">
        <v>73</v>
      </c>
      <c r="B141" t="s">
        <v>74</v>
      </c>
      <c r="C141" s="1">
        <v>2026</v>
      </c>
      <c r="D141" t="s">
        <v>75</v>
      </c>
      <c r="E141" t="s">
        <v>18</v>
      </c>
      <c r="F141" t="s">
        <v>40</v>
      </c>
      <c r="I141" s="1">
        <v>2520</v>
      </c>
      <c r="J141" s="1">
        <v>11080</v>
      </c>
      <c r="K141" s="1">
        <v>13600</v>
      </c>
      <c r="L141" s="1"/>
      <c r="M141" s="1"/>
      <c r="N141" s="1">
        <v>7500</v>
      </c>
      <c r="O141" s="1">
        <v>2520</v>
      </c>
      <c r="P141" s="1">
        <v>18430</v>
      </c>
      <c r="Q141" s="1">
        <v>20950</v>
      </c>
      <c r="R141" s="1"/>
      <c r="S141" s="1"/>
      <c r="T141" s="1">
        <v>0</v>
      </c>
      <c r="U141" s="1">
        <v>7350</v>
      </c>
      <c r="V141" s="1">
        <v>-7500</v>
      </c>
      <c r="W141"/>
    </row>
    <row r="142" spans="1:23">
      <c r="A142" t="s">
        <v>299</v>
      </c>
      <c r="B142" t="s">
        <v>300</v>
      </c>
      <c r="C142" s="1">
        <v>2026</v>
      </c>
      <c r="D142" t="s">
        <v>301</v>
      </c>
      <c r="E142" t="s">
        <v>18</v>
      </c>
      <c r="F142" t="s">
        <v>40</v>
      </c>
      <c r="I142" s="1">
        <v>2470</v>
      </c>
      <c r="J142" s="1">
        <v>13780</v>
      </c>
      <c r="K142" s="1">
        <v>16250</v>
      </c>
      <c r="L142" s="1"/>
      <c r="M142" s="1"/>
      <c r="N142" s="1">
        <v>7500</v>
      </c>
      <c r="O142" s="1">
        <v>2470</v>
      </c>
      <c r="P142" s="1">
        <v>19310</v>
      </c>
      <c r="Q142" s="1">
        <v>21780</v>
      </c>
      <c r="R142" s="1"/>
      <c r="S142" s="1"/>
      <c r="T142" s="1">
        <v>3750</v>
      </c>
      <c r="U142" s="1">
        <v>5530</v>
      </c>
      <c r="V142" s="1">
        <v>-3750</v>
      </c>
      <c r="W142"/>
    </row>
    <row r="143" spans="1:23">
      <c r="A143" t="s">
        <v>302</v>
      </c>
      <c r="B143" t="s">
        <v>303</v>
      </c>
      <c r="C143" s="1">
        <v>2026</v>
      </c>
      <c r="D143" t="s">
        <v>304</v>
      </c>
      <c r="E143" t="s">
        <v>18</v>
      </c>
      <c r="F143" t="s">
        <v>40</v>
      </c>
      <c r="I143" s="1">
        <v>3710</v>
      </c>
      <c r="J143" s="1">
        <v>13990</v>
      </c>
      <c r="K143" s="1">
        <v>17700</v>
      </c>
      <c r="L143" s="1"/>
      <c r="M143" s="1"/>
      <c r="N143" s="1">
        <v>7500</v>
      </c>
      <c r="O143" s="1">
        <v>3710</v>
      </c>
      <c r="P143" s="1">
        <v>21260</v>
      </c>
      <c r="Q143" s="1">
        <v>24970</v>
      </c>
      <c r="R143" s="1"/>
      <c r="S143" s="1"/>
      <c r="T143" s="1">
        <v>0</v>
      </c>
      <c r="U143" s="1">
        <v>7270</v>
      </c>
      <c r="V143" s="1">
        <v>-7500</v>
      </c>
      <c r="W143"/>
    </row>
    <row r="144" spans="1:23">
      <c r="A144" t="s">
        <v>305</v>
      </c>
      <c r="B144" t="s">
        <v>306</v>
      </c>
      <c r="C144" s="1">
        <v>2026</v>
      </c>
      <c r="D144" t="s">
        <v>307</v>
      </c>
      <c r="E144" t="s">
        <v>18</v>
      </c>
      <c r="F144" t="s">
        <v>40</v>
      </c>
      <c r="I144" s="1">
        <v>7450</v>
      </c>
      <c r="J144" s="1">
        <v>25700</v>
      </c>
      <c r="K144" s="1">
        <v>33150</v>
      </c>
      <c r="L144" s="1"/>
      <c r="M144" s="1"/>
      <c r="N144" s="1">
        <v>7500</v>
      </c>
      <c r="O144" s="1">
        <v>7450</v>
      </c>
      <c r="P144" s="1">
        <v>28730</v>
      </c>
      <c r="Q144" s="1">
        <v>36180</v>
      </c>
      <c r="R144" s="1"/>
      <c r="S144" s="1"/>
      <c r="T144" s="1">
        <v>0</v>
      </c>
      <c r="U144" s="1">
        <v>3030</v>
      </c>
      <c r="V144" s="1">
        <v>-7500</v>
      </c>
      <c r="W144"/>
    </row>
    <row r="145" spans="1:24">
      <c r="A145" t="s">
        <v>308</v>
      </c>
      <c r="B145" t="s">
        <v>309</v>
      </c>
      <c r="C145" s="1">
        <v>2026</v>
      </c>
      <c r="D145" t="s">
        <v>310</v>
      </c>
      <c r="E145" t="s">
        <v>18</v>
      </c>
      <c r="F145" t="s">
        <v>40</v>
      </c>
      <c r="I145" s="1">
        <v>1400</v>
      </c>
      <c r="J145" s="1">
        <v>14500</v>
      </c>
      <c r="K145" s="1">
        <v>15900</v>
      </c>
      <c r="L145" s="1"/>
      <c r="M145" s="1"/>
      <c r="N145" s="1">
        <v>3750</v>
      </c>
      <c r="O145" s="1">
        <v>1110</v>
      </c>
      <c r="P145" s="1">
        <v>16290</v>
      </c>
      <c r="Q145" s="1">
        <v>17400</v>
      </c>
      <c r="R145" s="1"/>
      <c r="S145" s="1"/>
      <c r="T145" s="1">
        <v>0</v>
      </c>
      <c r="U145" s="1">
        <v>1500</v>
      </c>
      <c r="V145" s="1">
        <v>-3750</v>
      </c>
      <c r="W145"/>
    </row>
    <row r="146" spans="1:24">
      <c r="A146" t="s">
        <v>311</v>
      </c>
      <c r="B146" t="s">
        <v>312</v>
      </c>
      <c r="C146" s="1">
        <v>2026</v>
      </c>
      <c r="D146" t="s">
        <v>313</v>
      </c>
      <c r="E146" t="s">
        <v>18</v>
      </c>
      <c r="F146" t="s">
        <v>40</v>
      </c>
      <c r="I146" s="1">
        <v>1610</v>
      </c>
      <c r="J146" s="1">
        <v>4700</v>
      </c>
      <c r="K146" s="1">
        <v>6310</v>
      </c>
      <c r="L146" s="1"/>
      <c r="M146" s="1"/>
      <c r="N146" s="1">
        <v>6310</v>
      </c>
      <c r="O146" s="1">
        <v>1610</v>
      </c>
      <c r="P146" s="1">
        <v>9920</v>
      </c>
      <c r="Q146" s="1">
        <v>11530</v>
      </c>
      <c r="R146" s="1"/>
      <c r="S146" s="1"/>
      <c r="T146" s="1">
        <v>0</v>
      </c>
      <c r="U146" s="1">
        <v>5220</v>
      </c>
      <c r="V146" s="1">
        <v>-6310</v>
      </c>
      <c r="W146"/>
    </row>
    <row r="147" spans="1:24">
      <c r="A147" t="s">
        <v>314</v>
      </c>
      <c r="B147" t="s">
        <v>315</v>
      </c>
      <c r="C147" s="1">
        <v>2026</v>
      </c>
      <c r="D147" t="s">
        <v>316</v>
      </c>
      <c r="E147" t="s">
        <v>18</v>
      </c>
      <c r="F147" t="s">
        <v>40</v>
      </c>
      <c r="I147" s="1">
        <v>3640</v>
      </c>
      <c r="J147" s="1">
        <v>14360</v>
      </c>
      <c r="K147" s="1">
        <v>18000</v>
      </c>
      <c r="L147" s="1"/>
      <c r="M147" s="1"/>
      <c r="N147" s="1">
        <v>7500</v>
      </c>
      <c r="O147" s="1">
        <v>1820</v>
      </c>
      <c r="P147" s="1">
        <v>21280</v>
      </c>
      <c r="Q147" s="1">
        <v>23100</v>
      </c>
      <c r="R147" s="1"/>
      <c r="S147" s="1"/>
      <c r="T147" s="1">
        <v>0</v>
      </c>
      <c r="U147" s="1">
        <v>5100</v>
      </c>
      <c r="V147" s="1">
        <v>-7500</v>
      </c>
      <c r="W147"/>
    </row>
    <row r="148" spans="1:24">
      <c r="A148" t="s">
        <v>70</v>
      </c>
      <c r="B148" t="s">
        <v>71</v>
      </c>
      <c r="C148" s="1">
        <v>2026</v>
      </c>
      <c r="D148" t="s">
        <v>72</v>
      </c>
      <c r="E148" t="s">
        <v>18</v>
      </c>
      <c r="F148" t="s">
        <v>40</v>
      </c>
      <c r="I148" s="1">
        <v>2200</v>
      </c>
      <c r="J148" s="1">
        <v>8300</v>
      </c>
      <c r="K148" s="1">
        <v>10500</v>
      </c>
      <c r="L148" s="1"/>
      <c r="M148" s="1"/>
      <c r="N148" s="1">
        <v>7500</v>
      </c>
      <c r="O148" s="1">
        <v>3670</v>
      </c>
      <c r="P148" s="1">
        <v>13010</v>
      </c>
      <c r="Q148" s="1">
        <v>16680</v>
      </c>
      <c r="R148" s="1"/>
      <c r="S148" s="1"/>
      <c r="T148" s="1">
        <v>7500</v>
      </c>
      <c r="U148" s="1">
        <v>6180</v>
      </c>
      <c r="V148" s="1">
        <v>0</v>
      </c>
      <c r="W148"/>
    </row>
    <row r="149" spans="1:24">
      <c r="A149" t="s">
        <v>87</v>
      </c>
      <c r="B149" t="s">
        <v>88</v>
      </c>
      <c r="C149" s="1">
        <v>2026</v>
      </c>
      <c r="D149" t="s">
        <v>89</v>
      </c>
      <c r="E149" t="s">
        <v>18</v>
      </c>
      <c r="F149" t="s">
        <v>40</v>
      </c>
      <c r="I149" s="1">
        <v>350</v>
      </c>
      <c r="J149" s="1">
        <v>4250</v>
      </c>
      <c r="K149" s="1">
        <v>4600</v>
      </c>
      <c r="L149" s="1"/>
      <c r="M149" s="1"/>
      <c r="N149" s="1">
        <v>4600</v>
      </c>
      <c r="O149" s="1">
        <v>1510</v>
      </c>
      <c r="P149" s="1">
        <v>8840</v>
      </c>
      <c r="Q149" s="1">
        <v>10350</v>
      </c>
      <c r="R149" s="1"/>
      <c r="S149" s="1"/>
      <c r="T149" s="1">
        <v>0</v>
      </c>
      <c r="U149" s="1">
        <v>5750</v>
      </c>
      <c r="V149" s="1">
        <v>-4600</v>
      </c>
      <c r="W149"/>
    </row>
    <row r="150" spans="1:24">
      <c r="A150" t="s">
        <v>100</v>
      </c>
      <c r="B150" t="s">
        <v>101</v>
      </c>
      <c r="C150" s="1">
        <v>2026</v>
      </c>
      <c r="D150" t="s">
        <v>102</v>
      </c>
      <c r="E150" t="s">
        <v>18</v>
      </c>
      <c r="F150" t="s">
        <v>40</v>
      </c>
      <c r="I150" s="1">
        <v>590</v>
      </c>
      <c r="J150" s="1">
        <v>2440</v>
      </c>
      <c r="K150" s="1">
        <v>3030</v>
      </c>
      <c r="L150" s="1"/>
      <c r="M150" s="1"/>
      <c r="N150" s="1">
        <v>3030</v>
      </c>
      <c r="O150" s="1">
        <v>9270</v>
      </c>
      <c r="P150" s="1">
        <v>19440</v>
      </c>
      <c r="Q150" s="1">
        <v>28710</v>
      </c>
      <c r="R150" s="1"/>
      <c r="S150" s="1"/>
      <c r="T150" s="1">
        <v>0</v>
      </c>
      <c r="U150" s="1">
        <v>25680</v>
      </c>
      <c r="V150" s="1">
        <v>-3030</v>
      </c>
      <c r="W150"/>
    </row>
    <row r="151" spans="1:24">
      <c r="A151" t="s">
        <v>317</v>
      </c>
      <c r="B151" t="s">
        <v>318</v>
      </c>
      <c r="C151" s="1">
        <v>2026</v>
      </c>
      <c r="D151" t="s">
        <v>319</v>
      </c>
      <c r="E151" t="s">
        <v>18</v>
      </c>
      <c r="F151" t="s">
        <v>39</v>
      </c>
      <c r="I151" s="1">
        <v>1350</v>
      </c>
      <c r="J151" s="1">
        <v>9570</v>
      </c>
      <c r="K151" s="1">
        <v>10920</v>
      </c>
      <c r="L151" s="1"/>
      <c r="M151" s="1"/>
      <c r="N151" s="1">
        <v>7500</v>
      </c>
      <c r="O151" s="1">
        <v>3000</v>
      </c>
      <c r="P151" s="1">
        <v>10970</v>
      </c>
      <c r="Q151" s="1">
        <v>13970</v>
      </c>
      <c r="R151" s="1"/>
      <c r="S151" s="1"/>
      <c r="T151" s="1">
        <v>0</v>
      </c>
      <c r="U151" s="1">
        <v>3050</v>
      </c>
      <c r="V151" s="1">
        <v>-7500</v>
      </c>
      <c r="W151"/>
    </row>
    <row r="152" spans="1:24">
      <c r="A152" t="s">
        <v>64</v>
      </c>
      <c r="B152" t="s">
        <v>65</v>
      </c>
      <c r="C152" s="1">
        <v>2026</v>
      </c>
      <c r="D152" t="s">
        <v>320</v>
      </c>
      <c r="E152" t="s">
        <v>18</v>
      </c>
      <c r="F152" t="s">
        <v>39</v>
      </c>
      <c r="I152" s="1">
        <v>4050</v>
      </c>
      <c r="J152" s="1">
        <v>10950</v>
      </c>
      <c r="K152" s="1">
        <v>15000</v>
      </c>
      <c r="L152" s="1"/>
      <c r="M152" s="1"/>
      <c r="N152" s="1">
        <v>7500</v>
      </c>
      <c r="O152" s="1">
        <v>12140</v>
      </c>
      <c r="P152" s="1">
        <v>26950</v>
      </c>
      <c r="Q152" s="1">
        <v>39090</v>
      </c>
      <c r="R152" s="1"/>
      <c r="S152" s="1"/>
      <c r="T152" s="1">
        <v>0</v>
      </c>
      <c r="U152" s="1">
        <v>24090</v>
      </c>
      <c r="V152" s="1">
        <v>-7500</v>
      </c>
      <c r="W152"/>
    </row>
    <row r="153" spans="1:24">
      <c r="A153" t="s">
        <v>321</v>
      </c>
      <c r="B153" t="s">
        <v>322</v>
      </c>
      <c r="C153" s="1">
        <v>2026</v>
      </c>
      <c r="D153" t="s">
        <v>323</v>
      </c>
      <c r="E153" t="s">
        <v>18</v>
      </c>
      <c r="F153" t="s">
        <v>40</v>
      </c>
      <c r="I153" s="1">
        <v>330</v>
      </c>
      <c r="J153" s="1">
        <v>8530</v>
      </c>
      <c r="K153" s="1">
        <v>8860</v>
      </c>
      <c r="L153" s="1"/>
      <c r="M153" s="1"/>
      <c r="N153" s="1">
        <v>7500</v>
      </c>
      <c r="O153" s="1">
        <v>650</v>
      </c>
      <c r="P153" s="1">
        <v>14240</v>
      </c>
      <c r="Q153" s="1">
        <v>14890</v>
      </c>
      <c r="R153" s="1"/>
      <c r="S153" s="1"/>
      <c r="T153" s="1">
        <v>0</v>
      </c>
      <c r="U153" s="1">
        <v>6030</v>
      </c>
      <c r="V153" s="1">
        <v>-7500</v>
      </c>
      <c r="W153"/>
    </row>
    <row r="154" spans="1:24">
      <c r="A154" t="s">
        <v>97</v>
      </c>
      <c r="B154" t="s">
        <v>98</v>
      </c>
      <c r="C154" s="1">
        <v>2026</v>
      </c>
      <c r="D154" t="s">
        <v>99</v>
      </c>
      <c r="E154" t="s">
        <v>18</v>
      </c>
      <c r="F154" t="s">
        <v>40</v>
      </c>
      <c r="I154" s="1">
        <v>970</v>
      </c>
      <c r="J154" s="1">
        <v>6710</v>
      </c>
      <c r="K154" s="1">
        <v>7680</v>
      </c>
      <c r="L154" s="1"/>
      <c r="M154" s="1"/>
      <c r="N154" s="1">
        <v>7500</v>
      </c>
      <c r="O154" s="1">
        <v>1920</v>
      </c>
      <c r="P154" s="1">
        <v>9420</v>
      </c>
      <c r="Q154" s="1">
        <v>11340</v>
      </c>
      <c r="R154" s="1"/>
      <c r="S154" s="1"/>
      <c r="T154" s="1">
        <v>0</v>
      </c>
      <c r="U154" s="1">
        <v>3660</v>
      </c>
      <c r="V154" s="1">
        <v>-7500</v>
      </c>
      <c r="W154"/>
    </row>
    <row r="155" spans="1:24">
      <c r="A155" t="s">
        <v>324</v>
      </c>
      <c r="B155" t="s">
        <v>325</v>
      </c>
      <c r="C155" s="1">
        <v>2026</v>
      </c>
      <c r="D155" t="s">
        <v>326</v>
      </c>
      <c r="E155" t="s">
        <v>18</v>
      </c>
      <c r="F155" t="s">
        <v>39</v>
      </c>
      <c r="I155" s="1">
        <v>3720</v>
      </c>
      <c r="J155" s="1">
        <v>8810</v>
      </c>
      <c r="K155" s="1">
        <v>12530</v>
      </c>
      <c r="L155" s="1"/>
      <c r="M155" s="1"/>
      <c r="N155" s="1">
        <v>7500</v>
      </c>
      <c r="O155" s="1">
        <v>4250</v>
      </c>
      <c r="P155" s="1">
        <v>14890</v>
      </c>
      <c r="Q155" s="1">
        <v>19140</v>
      </c>
      <c r="R155" s="1"/>
      <c r="S155" s="1"/>
      <c r="T155" s="1">
        <v>0</v>
      </c>
      <c r="U155" s="1">
        <v>6610</v>
      </c>
      <c r="V155" s="1">
        <v>-7500</v>
      </c>
      <c r="W155"/>
    </row>
    <row r="156" spans="1:24">
      <c r="A156" t="s">
        <v>327</v>
      </c>
      <c r="B156" t="s">
        <v>328</v>
      </c>
      <c r="C156" s="1">
        <v>2026</v>
      </c>
      <c r="D156" t="s">
        <v>329</v>
      </c>
      <c r="E156" t="s">
        <v>18</v>
      </c>
      <c r="F156" t="s">
        <v>39</v>
      </c>
      <c r="I156" s="1">
        <v>670</v>
      </c>
      <c r="J156" s="1">
        <v>9740</v>
      </c>
      <c r="K156" s="1">
        <v>10410</v>
      </c>
      <c r="L156" s="1"/>
      <c r="M156" s="1"/>
      <c r="N156" s="1">
        <v>7500</v>
      </c>
      <c r="O156" s="1">
        <v>1000</v>
      </c>
      <c r="P156" s="1">
        <v>17840</v>
      </c>
      <c r="Q156" s="1">
        <v>18840</v>
      </c>
      <c r="R156" s="1"/>
      <c r="S156" s="1"/>
      <c r="T156" s="1">
        <v>0</v>
      </c>
      <c r="U156" s="1">
        <v>8430</v>
      </c>
      <c r="V156" s="1">
        <v>-7500</v>
      </c>
      <c r="W156"/>
    </row>
    <row r="157" spans="1:24">
      <c r="A157" t="s">
        <v>52</v>
      </c>
      <c r="B157" t="s">
        <v>53</v>
      </c>
      <c r="C157" s="1">
        <v>2026</v>
      </c>
      <c r="D157" t="s">
        <v>54</v>
      </c>
      <c r="E157" t="s">
        <v>18</v>
      </c>
      <c r="I157" s="1">
        <v>0</v>
      </c>
      <c r="J157" s="1">
        <v>0</v>
      </c>
      <c r="K157" s="1">
        <v>0</v>
      </c>
      <c r="L157" s="1"/>
      <c r="M157" s="1"/>
      <c r="N157" s="1">
        <v>0</v>
      </c>
      <c r="O157" s="1">
        <v>14940</v>
      </c>
      <c r="P157" s="1">
        <v>0</v>
      </c>
      <c r="Q157" s="1">
        <v>14940</v>
      </c>
      <c r="R157" s="1"/>
      <c r="S157" s="1"/>
      <c r="T157" s="1">
        <v>0</v>
      </c>
      <c r="U157" s="1">
        <v>14940</v>
      </c>
      <c r="V157" s="1">
        <v>0</v>
      </c>
      <c r="W157"/>
    </row>
    <row r="158" spans="1:24">
      <c r="A158" t="s">
        <v>330</v>
      </c>
      <c r="B158" t="s">
        <v>331</v>
      </c>
      <c r="C158" s="1">
        <v>2026</v>
      </c>
      <c r="D158" t="s">
        <v>332</v>
      </c>
      <c r="E158" t="s">
        <v>18</v>
      </c>
      <c r="F158" t="s">
        <v>40</v>
      </c>
      <c r="I158" s="1">
        <v>1600</v>
      </c>
      <c r="J158" s="1">
        <v>6300</v>
      </c>
      <c r="K158" s="1">
        <v>7900</v>
      </c>
      <c r="L158" s="1"/>
      <c r="M158" s="1"/>
      <c r="N158" s="1">
        <v>7500</v>
      </c>
      <c r="O158" s="1">
        <v>3200</v>
      </c>
      <c r="P158" s="1">
        <v>13210</v>
      </c>
      <c r="Q158" s="1">
        <v>16410</v>
      </c>
      <c r="R158" s="1"/>
      <c r="S158" s="1"/>
      <c r="T158" s="1">
        <v>0</v>
      </c>
      <c r="U158" s="1">
        <v>8510</v>
      </c>
      <c r="V158" s="1">
        <v>-7500</v>
      </c>
      <c r="W158"/>
    </row>
    <row r="159" spans="1:24">
      <c r="A159" t="s">
        <v>85</v>
      </c>
      <c r="B159" t="s">
        <v>86</v>
      </c>
      <c r="C159" s="1">
        <v>2026</v>
      </c>
      <c r="D159" t="s">
        <v>54</v>
      </c>
      <c r="E159" t="s">
        <v>18</v>
      </c>
      <c r="I159" s="1">
        <v>0</v>
      </c>
      <c r="J159" s="1">
        <v>0</v>
      </c>
      <c r="K159" s="1">
        <v>0</v>
      </c>
      <c r="L159" s="1"/>
      <c r="M159" s="1"/>
      <c r="N159" s="1">
        <v>0</v>
      </c>
      <c r="O159" s="1">
        <v>20290</v>
      </c>
      <c r="P159" s="1">
        <v>0</v>
      </c>
      <c r="Q159" s="1">
        <v>20290</v>
      </c>
      <c r="R159" s="1"/>
      <c r="S159" s="1"/>
      <c r="T159" s="1">
        <v>0</v>
      </c>
      <c r="U159" s="1">
        <v>20290</v>
      </c>
      <c r="V159" s="1">
        <v>0</v>
      </c>
      <c r="W159"/>
    </row>
    <row r="160" spans="1:24" s="12" customFormat="1">
      <c r="B160" s="12" t="s">
        <v>20</v>
      </c>
      <c r="I160" s="34">
        <f t="shared" ref="I160:V160" si="3">SUM(I75:I159)</f>
        <v>268090</v>
      </c>
      <c r="J160" s="34">
        <f t="shared" si="3"/>
        <v>990050</v>
      </c>
      <c r="K160" s="34">
        <f t="shared" si="3"/>
        <v>1258140</v>
      </c>
      <c r="L160" s="34"/>
      <c r="M160" s="34"/>
      <c r="N160" s="34">
        <f t="shared" si="3"/>
        <v>509570</v>
      </c>
      <c r="O160" s="34">
        <f t="shared" si="3"/>
        <v>622510</v>
      </c>
      <c r="P160" s="34">
        <f t="shared" si="3"/>
        <v>1672770</v>
      </c>
      <c r="Q160" s="35">
        <f t="shared" si="3"/>
        <v>2295280</v>
      </c>
      <c r="R160" s="35"/>
      <c r="S160" s="35"/>
      <c r="T160" s="35">
        <f t="shared" si="3"/>
        <v>23750</v>
      </c>
      <c r="U160" s="35">
        <f t="shared" si="3"/>
        <v>1037140</v>
      </c>
      <c r="V160" s="35">
        <f t="shared" si="3"/>
        <v>-485820</v>
      </c>
      <c r="W160" s="32" t="s">
        <v>20</v>
      </c>
      <c r="X160" s="37">
        <f>U160-V160</f>
        <v>1522960</v>
      </c>
    </row>
    <row r="161" spans="2:23">
      <c r="Q161" s="30"/>
      <c r="R161" s="30"/>
      <c r="S161" s="30"/>
      <c r="T161" s="30"/>
      <c r="U161" s="30"/>
      <c r="V161" s="30"/>
      <c r="W161" s="33"/>
    </row>
    <row r="162" spans="2:23" s="12" customFormat="1">
      <c r="B162" s="12" t="s">
        <v>27</v>
      </c>
      <c r="I162" s="34"/>
      <c r="J162" s="34"/>
      <c r="K162" s="34">
        <f>SUM(K160,K72,K38,K16)</f>
        <v>2077900</v>
      </c>
      <c r="L162" s="34"/>
      <c r="M162" s="34"/>
      <c r="N162" s="34">
        <f>SUM(N72,N160,N38,N16)</f>
        <v>856640</v>
      </c>
      <c r="O162" s="34"/>
      <c r="P162" s="34"/>
      <c r="Q162" s="35">
        <f>SUM(Q160,Q72,Q38,Q16)</f>
        <v>3838700</v>
      </c>
      <c r="R162" s="35"/>
      <c r="S162" s="35"/>
      <c r="T162" s="35">
        <f>SUM(T160,T72,T38,T16)</f>
        <v>57500</v>
      </c>
      <c r="U162" s="35">
        <f>SUM(U160,U72,U38,U16)</f>
        <v>2012760</v>
      </c>
      <c r="V162" s="35">
        <f>SUM(V160,V72,V38,V16)</f>
        <v>-799140</v>
      </c>
      <c r="W162" s="34"/>
    </row>
    <row r="163" spans="2:23">
      <c r="T163" s="34"/>
      <c r="U163" s="34"/>
      <c r="V163" s="3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A9D7-F0FB-4DF3-819D-26FC00D9A5B9}">
  <dimension ref="A1:A15"/>
  <sheetViews>
    <sheetView workbookViewId="0"/>
  </sheetViews>
  <sheetFormatPr defaultRowHeight="15"/>
  <cols>
    <col min="1" max="1" width="151.140625" customWidth="1"/>
  </cols>
  <sheetData>
    <row r="1" spans="1:1" ht="155.25" customHeight="1">
      <c r="A1" s="36" t="s">
        <v>46</v>
      </c>
    </row>
    <row r="2" spans="1:1">
      <c r="A2" s="36"/>
    </row>
    <row r="3" spans="1:1">
      <c r="A3" s="36"/>
    </row>
    <row r="4" spans="1:1">
      <c r="A4" s="36"/>
    </row>
    <row r="5" spans="1:1">
      <c r="A5" s="36"/>
    </row>
    <row r="6" spans="1:1">
      <c r="A6" s="36"/>
    </row>
    <row r="7" spans="1:1">
      <c r="A7" s="36"/>
    </row>
    <row r="8" spans="1:1">
      <c r="A8" s="36"/>
    </row>
    <row r="9" spans="1:1">
      <c r="A9" s="36"/>
    </row>
    <row r="10" spans="1:1">
      <c r="A10" s="36"/>
    </row>
    <row r="11" spans="1:1">
      <c r="A11" s="36"/>
    </row>
    <row r="12" spans="1:1">
      <c r="A12" s="36"/>
    </row>
    <row r="13" spans="1:1">
      <c r="A13" s="36"/>
    </row>
    <row r="14" spans="1:1">
      <c r="A14" s="36"/>
    </row>
    <row r="15" spans="1:1">
      <c r="A15" s="3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A3A4-65D8-43EF-B942-C6283C813269}">
  <dimension ref="A1:K25"/>
  <sheetViews>
    <sheetView workbookViewId="0">
      <selection activeCell="C16" sqref="C16"/>
    </sheetView>
  </sheetViews>
  <sheetFormatPr defaultRowHeight="15"/>
  <cols>
    <col min="1" max="1" width="24.7109375" bestFit="1" customWidth="1"/>
    <col min="2" max="2" width="32.85546875" bestFit="1" customWidth="1"/>
    <col min="3" max="3" width="13.7109375" bestFit="1" customWidth="1"/>
    <col min="4" max="4" width="5.5703125" bestFit="1" customWidth="1"/>
    <col min="5" max="5" width="6.7109375" bestFit="1" customWidth="1"/>
    <col min="6" max="6" width="12" bestFit="1" customWidth="1"/>
    <col min="7" max="7" width="10.140625" bestFit="1" customWidth="1"/>
    <col min="8" max="8" width="14.28515625" bestFit="1" customWidth="1"/>
    <col min="9" max="9" width="16.85546875" bestFit="1" customWidth="1"/>
    <col min="10" max="10" width="14.42578125" bestFit="1" customWidth="1"/>
    <col min="11" max="11" width="65.140625" bestFit="1" customWidth="1"/>
  </cols>
  <sheetData>
    <row r="1" spans="1:11" s="12" customFormat="1">
      <c r="A1" s="12" t="s">
        <v>0</v>
      </c>
      <c r="B1" s="12" t="s">
        <v>30</v>
      </c>
      <c r="C1" s="12" t="s">
        <v>31</v>
      </c>
      <c r="D1" s="12" t="s">
        <v>32</v>
      </c>
      <c r="E1" s="12" t="s">
        <v>2</v>
      </c>
      <c r="F1" s="12" t="s">
        <v>1</v>
      </c>
      <c r="G1" s="12" t="s">
        <v>4</v>
      </c>
      <c r="H1" s="41" t="s">
        <v>33</v>
      </c>
      <c r="I1" s="41" t="s">
        <v>34</v>
      </c>
      <c r="J1" s="41" t="s">
        <v>35</v>
      </c>
      <c r="K1" s="12" t="s">
        <v>36</v>
      </c>
    </row>
    <row r="2" spans="1:11">
      <c r="C2" s="38"/>
      <c r="E2" s="1">
        <v>2023</v>
      </c>
      <c r="H2" s="42"/>
      <c r="I2" s="42"/>
      <c r="J2" s="42"/>
    </row>
    <row r="3" spans="1:11" s="12" customFormat="1">
      <c r="C3" s="39"/>
      <c r="E3" s="1"/>
      <c r="H3" s="43">
        <f>SUM(H2:H2)</f>
        <v>0</v>
      </c>
      <c r="I3" s="43">
        <f>SUM(I2:I2)</f>
        <v>0</v>
      </c>
      <c r="J3" s="43">
        <f>SUM(J2:J2)</f>
        <v>0</v>
      </c>
    </row>
    <row r="4" spans="1:11">
      <c r="C4" s="38"/>
      <c r="E4" s="1"/>
      <c r="H4" s="42"/>
      <c r="I4" s="42"/>
      <c r="J4" s="42"/>
    </row>
    <row r="5" spans="1:11">
      <c r="C5" s="38"/>
      <c r="E5" s="1">
        <v>2024</v>
      </c>
      <c r="H5" s="42"/>
      <c r="I5" s="42"/>
      <c r="J5" s="42"/>
    </row>
    <row r="6" spans="1:11" s="12" customFormat="1">
      <c r="C6" s="39"/>
      <c r="E6" s="1"/>
      <c r="H6" s="43">
        <f>SUM(H5:H5)</f>
        <v>0</v>
      </c>
      <c r="I6" s="43">
        <f>SUM(I5:I5)</f>
        <v>0</v>
      </c>
      <c r="J6" s="43">
        <f>SUM(J5:J5)</f>
        <v>0</v>
      </c>
    </row>
    <row r="7" spans="1:11">
      <c r="C7" s="38"/>
      <c r="E7" s="1"/>
      <c r="H7" s="42"/>
      <c r="I7" s="42"/>
      <c r="J7" s="42"/>
    </row>
    <row r="8" spans="1:11">
      <c r="A8" t="s">
        <v>48</v>
      </c>
      <c r="B8" t="s">
        <v>49</v>
      </c>
      <c r="C8" s="38">
        <v>46169</v>
      </c>
      <c r="D8" s="1">
        <v>2</v>
      </c>
      <c r="E8" s="1">
        <v>2025</v>
      </c>
      <c r="F8" t="s">
        <v>50</v>
      </c>
      <c r="G8" t="s">
        <v>37</v>
      </c>
      <c r="H8" s="1">
        <v>0</v>
      </c>
      <c r="I8" s="1">
        <v>26620</v>
      </c>
      <c r="J8" s="1">
        <v>26620</v>
      </c>
      <c r="K8" t="s">
        <v>51</v>
      </c>
    </row>
    <row r="9" spans="1:11" s="12" customFormat="1">
      <c r="C9" s="39"/>
      <c r="E9" s="1"/>
      <c r="H9" s="43">
        <f>SUM(H8:H8)</f>
        <v>0</v>
      </c>
      <c r="I9" s="43">
        <f>SUM(I8:I8)</f>
        <v>26620</v>
      </c>
      <c r="J9" s="43">
        <f>SUM(J8:J8)</f>
        <v>26620</v>
      </c>
    </row>
    <row r="10" spans="1:11">
      <c r="C10" s="38"/>
      <c r="E10" s="1"/>
      <c r="H10" s="42"/>
      <c r="I10" s="42"/>
      <c r="J10" s="42"/>
    </row>
    <row r="11" spans="1:11">
      <c r="A11" t="s">
        <v>48</v>
      </c>
      <c r="B11" t="s">
        <v>49</v>
      </c>
      <c r="C11" s="38">
        <v>46169</v>
      </c>
      <c r="D11" s="1">
        <v>2</v>
      </c>
      <c r="E11" s="1">
        <v>2026</v>
      </c>
      <c r="F11" t="s">
        <v>50</v>
      </c>
      <c r="G11" t="s">
        <v>37</v>
      </c>
      <c r="H11" s="1">
        <v>0</v>
      </c>
      <c r="I11" s="1">
        <v>31940</v>
      </c>
      <c r="J11" s="1">
        <v>31940</v>
      </c>
      <c r="K11" t="s">
        <v>51</v>
      </c>
    </row>
    <row r="12" spans="1:11">
      <c r="A12" s="12"/>
      <c r="B12" s="12"/>
      <c r="C12" s="12"/>
      <c r="D12" s="12"/>
      <c r="F12" s="12"/>
      <c r="G12" s="12"/>
      <c r="H12" s="41">
        <f>SUM(H11:H11)</f>
        <v>0</v>
      </c>
      <c r="I12" s="41">
        <f>SUM(I11:I11)</f>
        <v>31940</v>
      </c>
      <c r="J12" s="41">
        <f>SUM(J11:J11)</f>
        <v>31940</v>
      </c>
      <c r="K12" s="12"/>
    </row>
    <row r="13" spans="1:11">
      <c r="H13" s="40"/>
      <c r="I13" s="40"/>
      <c r="J13" s="40"/>
    </row>
    <row r="14" spans="1:11">
      <c r="A14" s="12"/>
      <c r="B14" s="12"/>
      <c r="C14" s="12"/>
      <c r="D14" s="12"/>
      <c r="E14" s="12"/>
      <c r="F14" s="12"/>
      <c r="G14" s="12" t="s">
        <v>38</v>
      </c>
      <c r="H14" s="41">
        <f>SUM(H12,H9,H6,H3)</f>
        <v>0</v>
      </c>
      <c r="I14" s="41">
        <f>SUM(I12,I9,I6,I3)</f>
        <v>58560</v>
      </c>
      <c r="J14" s="41">
        <f>SUM(J12,J9,J6,J3)</f>
        <v>58560</v>
      </c>
      <c r="K14" s="12"/>
    </row>
    <row r="23" spans="1:11" s="12" customFormat="1">
      <c r="A23"/>
      <c r="B23"/>
      <c r="C23"/>
      <c r="D23"/>
      <c r="E23"/>
      <c r="F23"/>
      <c r="G23"/>
      <c r="H23"/>
      <c r="I23"/>
      <c r="J23"/>
      <c r="K23"/>
    </row>
    <row r="25" spans="1:11" s="12" customFormat="1">
      <c r="A25"/>
      <c r="B25"/>
      <c r="C25"/>
      <c r="D25"/>
      <c r="E25"/>
      <c r="F25"/>
      <c r="G25"/>
      <c r="H25"/>
      <c r="I25"/>
      <c r="J25"/>
      <c r="K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7EED-2A6C-4CD6-B58D-78272B877D22}">
  <dimension ref="A1:A2"/>
  <sheetViews>
    <sheetView workbookViewId="0"/>
  </sheetViews>
  <sheetFormatPr defaultRowHeight="15"/>
  <cols>
    <col min="1" max="1" width="118.42578125" customWidth="1"/>
  </cols>
  <sheetData>
    <row r="1" spans="1:1" ht="315">
      <c r="A1" s="36" t="s">
        <v>47</v>
      </c>
    </row>
    <row r="2" spans="1:1">
      <c r="A2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CONSOLIDATED SUMMARY</vt:lpstr>
      <vt:lpstr>REAL PROPERTY DETAILS</vt:lpstr>
      <vt:lpstr>REAL SQL</vt:lpstr>
      <vt:lpstr>PP DETAILS</vt:lpstr>
      <vt:lpstr>PP 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Joseph Adogeri</cp:lastModifiedBy>
  <dcterms:created xsi:type="dcterms:W3CDTF">2025-07-31T16:29:20Z</dcterms:created>
  <dcterms:modified xsi:type="dcterms:W3CDTF">2026-08-19T17:06:57Z</dcterms:modified>
</cp:coreProperties>
</file>